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ocuments\Masters\Project\Investigations\"/>
    </mc:Choice>
  </mc:AlternateContent>
  <xr:revisionPtr revIDLastSave="0" documentId="13_ncr:1_{E2B213A0-2F9F-4800-AA9C-2067E06547C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ower Consumptio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P4" i="2"/>
  <c r="Q4" i="2"/>
  <c r="O5" i="2"/>
  <c r="P5" i="2"/>
  <c r="Q5" i="2"/>
  <c r="O6" i="2"/>
  <c r="P6" i="2"/>
  <c r="Q6" i="2"/>
  <c r="O7" i="2"/>
  <c r="P7" i="2"/>
  <c r="Q7" i="2"/>
  <c r="O8" i="2"/>
  <c r="P8" i="2"/>
  <c r="Q8" i="2"/>
  <c r="O9" i="2"/>
  <c r="P9" i="2"/>
  <c r="Q9" i="2"/>
  <c r="O10" i="2"/>
  <c r="P10" i="2"/>
  <c r="Q10" i="2"/>
  <c r="O11" i="2"/>
  <c r="P11" i="2"/>
  <c r="Q11" i="2"/>
  <c r="O12" i="2"/>
  <c r="P12" i="2"/>
  <c r="Q12" i="2"/>
  <c r="N5" i="2"/>
  <c r="N6" i="2"/>
  <c r="N7" i="2"/>
  <c r="N8" i="2"/>
  <c r="N9" i="2"/>
  <c r="N10" i="2"/>
  <c r="N11" i="2"/>
  <c r="N12" i="2"/>
  <c r="N4" i="2"/>
  <c r="V5" i="2"/>
  <c r="W5" i="2"/>
  <c r="X5" i="2"/>
  <c r="Y5" i="2"/>
  <c r="V6" i="2"/>
  <c r="W6" i="2"/>
  <c r="X6" i="2"/>
  <c r="Y6" i="2"/>
  <c r="V7" i="2"/>
  <c r="W7" i="2"/>
  <c r="X7" i="2"/>
  <c r="Y7" i="2"/>
  <c r="V8" i="2"/>
  <c r="W8" i="2"/>
  <c r="X8" i="2"/>
  <c r="Y8" i="2"/>
  <c r="V9" i="2"/>
  <c r="W9" i="2"/>
  <c r="X9" i="2"/>
  <c r="Y9" i="2"/>
  <c r="V10" i="2"/>
  <c r="W10" i="2"/>
  <c r="X10" i="2"/>
  <c r="Y10" i="2"/>
  <c r="V11" i="2"/>
  <c r="W11" i="2"/>
  <c r="X11" i="2"/>
  <c r="Y11" i="2"/>
  <c r="V12" i="2"/>
  <c r="W12" i="2"/>
  <c r="X12" i="2"/>
  <c r="Y12" i="2"/>
  <c r="W4" i="2"/>
  <c r="X4" i="2"/>
  <c r="Y4" i="2"/>
  <c r="V4" i="2"/>
  <c r="E18" i="2"/>
  <c r="E17" i="2"/>
  <c r="D18" i="2"/>
  <c r="D17" i="2"/>
  <c r="B18" i="2"/>
  <c r="B17" i="2"/>
  <c r="C17" i="2"/>
  <c r="C18" i="2"/>
  <c r="S4" i="2"/>
  <c r="T4" i="2"/>
  <c r="U4" i="2"/>
  <c r="S5" i="2"/>
  <c r="T5" i="2"/>
  <c r="U5" i="2"/>
  <c r="S6" i="2"/>
  <c r="T6" i="2"/>
  <c r="U6" i="2"/>
  <c r="S7" i="2"/>
  <c r="T7" i="2"/>
  <c r="U7" i="2"/>
  <c r="S8" i="2"/>
  <c r="T8" i="2"/>
  <c r="U8" i="2"/>
  <c r="S9" i="2"/>
  <c r="T9" i="2"/>
  <c r="U9" i="2"/>
  <c r="S10" i="2"/>
  <c r="T10" i="2"/>
  <c r="U10" i="2"/>
  <c r="S11" i="2"/>
  <c r="T11" i="2"/>
  <c r="U11" i="2"/>
  <c r="S12" i="2"/>
  <c r="T12" i="2"/>
  <c r="U12" i="2"/>
  <c r="R5" i="2"/>
  <c r="R6" i="2"/>
  <c r="R7" i="2"/>
  <c r="R8" i="2"/>
  <c r="R9" i="2"/>
  <c r="R10" i="2"/>
  <c r="R11" i="2"/>
  <c r="R12" i="2"/>
  <c r="R4" i="2"/>
  <c r="I11" i="2"/>
  <c r="J11" i="2"/>
  <c r="K11" i="2"/>
  <c r="L11" i="2"/>
  <c r="M11" i="2"/>
  <c r="I9" i="2"/>
  <c r="J9" i="2"/>
  <c r="K9" i="2"/>
  <c r="L9" i="2"/>
  <c r="M9" i="2"/>
  <c r="I8" i="2"/>
  <c r="J8" i="2"/>
  <c r="K8" i="2"/>
  <c r="L8" i="2"/>
  <c r="M8" i="2"/>
  <c r="M5" i="2"/>
  <c r="M6" i="2"/>
  <c r="M7" i="2"/>
  <c r="M10" i="2"/>
  <c r="M12" i="2"/>
  <c r="M4" i="2"/>
  <c r="I5" i="2"/>
  <c r="Z5" i="2" s="1"/>
  <c r="J5" i="2"/>
  <c r="K5" i="2"/>
  <c r="L5" i="2"/>
  <c r="I6" i="2"/>
  <c r="Z6" i="2" s="1"/>
  <c r="J6" i="2"/>
  <c r="K6" i="2"/>
  <c r="L6" i="2"/>
  <c r="I7" i="2"/>
  <c r="J7" i="2"/>
  <c r="K7" i="2"/>
  <c r="L7" i="2"/>
  <c r="I10" i="2"/>
  <c r="J10" i="2"/>
  <c r="K10" i="2"/>
  <c r="L10" i="2"/>
  <c r="I12" i="2"/>
  <c r="J12" i="2"/>
  <c r="K12" i="2"/>
  <c r="L12" i="2"/>
  <c r="J4" i="2"/>
  <c r="K4" i="2"/>
  <c r="L4" i="2"/>
  <c r="I4" i="2"/>
  <c r="D4" i="1"/>
  <c r="D5" i="1"/>
  <c r="D3" i="1"/>
  <c r="C5" i="1"/>
  <c r="C4" i="1"/>
  <c r="C3" i="1"/>
  <c r="AA7" i="2" l="1"/>
  <c r="AC7" i="2"/>
  <c r="Z11" i="2"/>
  <c r="AC8" i="2"/>
  <c r="Z8" i="2"/>
  <c r="AA4" i="2"/>
  <c r="AC6" i="2"/>
  <c r="AB6" i="2"/>
  <c r="AC11" i="2"/>
  <c r="Z4" i="2"/>
  <c r="Z12" i="2"/>
  <c r="Z10" i="2"/>
  <c r="AC10" i="2"/>
  <c r="Z7" i="2"/>
  <c r="AB5" i="2"/>
  <c r="AA5" i="2"/>
  <c r="AC5" i="2"/>
  <c r="AA12" i="2"/>
  <c r="AA9" i="2"/>
  <c r="AB8" i="2"/>
  <c r="AA8" i="2"/>
  <c r="AB11" i="2"/>
  <c r="AB7" i="2"/>
  <c r="AA11" i="2"/>
  <c r="Z9" i="2"/>
  <c r="AB10" i="2"/>
  <c r="AA10" i="2"/>
  <c r="AA6" i="2"/>
  <c r="AC9" i="2" l="1"/>
  <c r="AB9" i="2"/>
  <c r="AC12" i="2"/>
  <c r="AB12" i="2"/>
  <c r="AC4" i="2"/>
  <c r="AB4" i="2"/>
</calcChain>
</file>

<file path=xl/sharedStrings.xml><?xml version="1.0" encoding="utf-8"?>
<sst xmlns="http://schemas.openxmlformats.org/spreadsheetml/2006/main" count="60" uniqueCount="40">
  <si>
    <t>Voltage</t>
  </si>
  <si>
    <t>Power Electronics</t>
  </si>
  <si>
    <t>Wattage</t>
  </si>
  <si>
    <t>PE + DAQ</t>
  </si>
  <si>
    <t>Battery Input</t>
  </si>
  <si>
    <t>Current</t>
  </si>
  <si>
    <t>Notes</t>
  </si>
  <si>
    <t>Race Energy</t>
  </si>
  <si>
    <t>FET1</t>
  </si>
  <si>
    <t>RDSon</t>
  </si>
  <si>
    <t>QG</t>
  </si>
  <si>
    <t>Vgs</t>
  </si>
  <si>
    <t>Rg</t>
  </si>
  <si>
    <t>FET2</t>
  </si>
  <si>
    <t>Name</t>
  </si>
  <si>
    <t>PSMN1R2</t>
  </si>
  <si>
    <t>ISG0613N04NM6H</t>
  </si>
  <si>
    <t>FET3</t>
  </si>
  <si>
    <t>IPB014N06N</t>
  </si>
  <si>
    <t>FET4</t>
  </si>
  <si>
    <t>EPC2367</t>
  </si>
  <si>
    <t>Ig</t>
  </si>
  <si>
    <t>QGS2</t>
  </si>
  <si>
    <t>QGD</t>
  </si>
  <si>
    <t>Vin</t>
  </si>
  <si>
    <t>Iout</t>
  </si>
  <si>
    <t>Fsw</t>
  </si>
  <si>
    <t>Psw</t>
  </si>
  <si>
    <t>Pcon</t>
  </si>
  <si>
    <t>L</t>
  </si>
  <si>
    <t>Irip</t>
  </si>
  <si>
    <t>Duty</t>
  </si>
  <si>
    <t>Pdrv</t>
  </si>
  <si>
    <t>Pbod</t>
  </si>
  <si>
    <t>DT</t>
  </si>
  <si>
    <t>Vgsth</t>
  </si>
  <si>
    <t>tr(total)</t>
  </si>
  <si>
    <t>tf(total</t>
  </si>
  <si>
    <t>Vf</t>
  </si>
  <si>
    <t>Ptot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</si>
</sst>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MOSFET Losses vs Switching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PSMN1R2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Sheet1!$H$4:$H$12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12000</c:v>
                </c:pt>
                <c:pt idx="5">
                  <c:v>15000</c:v>
                </c:pt>
                <c:pt idx="6">
                  <c:v>20000</c:v>
                </c:pt>
                <c:pt idx="7">
                  <c:v>25000</c:v>
                </c:pt>
                <c:pt idx="8">
                  <c:v>30000</c:v>
                </c:pt>
              </c:numCache>
            </c:numRef>
          </c:xVal>
          <c:yVal>
            <c:numRef>
              <c:f>Sheet1!$Z$4:$Z$12</c:f>
              <c:numCache>
                <c:formatCode>0.00E+00</c:formatCode>
                <c:ptCount val="9"/>
                <c:pt idx="0">
                  <c:v>0.5794903418913846</c:v>
                </c:pt>
                <c:pt idx="1">
                  <c:v>0.29978103547284618</c:v>
                </c:pt>
                <c:pt idx="2">
                  <c:v>0.23841727767565538</c:v>
                </c:pt>
                <c:pt idx="3">
                  <c:v>0.25814656941891384</c:v>
                </c:pt>
                <c:pt idx="4">
                  <c:v>0.26944841765202354</c:v>
                </c:pt>
                <c:pt idx="5">
                  <c:v>0.28719547529729506</c:v>
                </c:pt>
                <c:pt idx="6">
                  <c:v>0.31762114235472849</c:v>
                </c:pt>
                <c:pt idx="7">
                  <c:v>0.34844501110702625</c:v>
                </c:pt>
                <c:pt idx="8">
                  <c:v>0.3794256188243238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4-48B2-89AA-C039551058D8}"/>
            </c:ext>
          </c:extLst>
        </c:ser>
        <c:ser>
          <c:idx val="1"/>
          <c:order val="1"/>
          <c:tx>
            <c:strRef>
              <c:f>Sheet1!$C$20</c:f>
              <c:strCache>
                <c:ptCount val="1"/>
                <c:pt idx="0">
                  <c:v>ISG0613N04NM6H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Sheet1!$H$4:$H$12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12000</c:v>
                </c:pt>
                <c:pt idx="5">
                  <c:v>15000</c:v>
                </c:pt>
                <c:pt idx="6">
                  <c:v>20000</c:v>
                </c:pt>
                <c:pt idx="7">
                  <c:v>25000</c:v>
                </c:pt>
                <c:pt idx="8">
                  <c:v>30000</c:v>
                </c:pt>
              </c:numCache>
            </c:numRef>
          </c:xVal>
          <c:yVal>
            <c:numRef>
              <c:f>Sheet1!$AA$4:$AA$12</c:f>
              <c:numCache>
                <c:formatCode>0.00E+00</c:formatCode>
                <c:ptCount val="9"/>
                <c:pt idx="0">
                  <c:v>0.53121485006710245</c:v>
                </c:pt>
                <c:pt idx="1">
                  <c:v>0.27483002251677563</c:v>
                </c:pt>
                <c:pt idx="2">
                  <c:v>0.21862602120268412</c:v>
                </c:pt>
                <c:pt idx="3">
                  <c:v>0.23678805530067101</c:v>
                </c:pt>
                <c:pt idx="4">
                  <c:v>0.24717882284768822</c:v>
                </c:pt>
                <c:pt idx="5">
                  <c:v>0.26349306902252045</c:v>
                </c:pt>
                <c:pt idx="6">
                  <c:v>0.29146011382516773</c:v>
                </c:pt>
                <c:pt idx="7">
                  <c:v>0.3197921768481074</c:v>
                </c:pt>
                <c:pt idx="8">
                  <c:v>0.34826791725563017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B4-48B2-89AA-C039551058D8}"/>
            </c:ext>
          </c:extLst>
        </c:ser>
        <c:ser>
          <c:idx val="2"/>
          <c:order val="2"/>
          <c:tx>
            <c:strRef>
              <c:f>Sheet1!$E$20</c:f>
              <c:strCache>
                <c:ptCount val="1"/>
                <c:pt idx="0">
                  <c:v>EPC2367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Sheet1!$H$4:$H$12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12000</c:v>
                </c:pt>
                <c:pt idx="5">
                  <c:v>15000</c:v>
                </c:pt>
                <c:pt idx="6">
                  <c:v>20000</c:v>
                </c:pt>
                <c:pt idx="7">
                  <c:v>25000</c:v>
                </c:pt>
                <c:pt idx="8">
                  <c:v>30000</c:v>
                </c:pt>
              </c:numCache>
            </c:numRef>
          </c:xVal>
          <c:yVal>
            <c:numRef>
              <c:f>Sheet1!$AC$4:$AC$12</c:f>
              <c:numCache>
                <c:formatCode>0.00E+00</c:formatCode>
                <c:ptCount val="9"/>
                <c:pt idx="0">
                  <c:v>0.71912017736423062</c:v>
                </c:pt>
                <c:pt idx="1">
                  <c:v>0.36424079434105761</c:v>
                </c:pt>
                <c:pt idx="2">
                  <c:v>0.27180784709456923</c:v>
                </c:pt>
                <c:pt idx="3">
                  <c:v>0.27025571177364233</c:v>
                </c:pt>
                <c:pt idx="4">
                  <c:v>0.27389752206502938</c:v>
                </c:pt>
                <c:pt idx="5">
                  <c:v>0.2803530941216188</c:v>
                </c:pt>
                <c:pt idx="6">
                  <c:v>0.29217142794341056</c:v>
                </c:pt>
                <c:pt idx="7">
                  <c:v>0.30448751388378276</c:v>
                </c:pt>
                <c:pt idx="8">
                  <c:v>0.31699952353040467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B4-48B2-89AA-C03955105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905680"/>
        <c:axId val="37790712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Sheet1!$D$20</c15:sqref>
                        </c15:formulaRef>
                      </c:ext>
                    </c:extLst>
                    <c:strCache>
                      <c:ptCount val="1"/>
                      <c:pt idx="0">
                        <c:v>IPB014N06N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Sheet1!$H$4:$H$12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5000</c:v>
                      </c:pt>
                      <c:pt idx="3">
                        <c:v>10000</c:v>
                      </c:pt>
                      <c:pt idx="4">
                        <c:v>12000</c:v>
                      </c:pt>
                      <c:pt idx="5">
                        <c:v>15000</c:v>
                      </c:pt>
                      <c:pt idx="6">
                        <c:v>20000</c:v>
                      </c:pt>
                      <c:pt idx="7">
                        <c:v>25000</c:v>
                      </c:pt>
                      <c:pt idx="8">
                        <c:v>30000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Sheet1!$AB$4:$AB$12</c15:sqref>
                        </c15:formulaRef>
                      </c:ext>
                    </c:extLst>
                    <c:numCache>
                      <c:formatCode>0.00E+00</c:formatCode>
                      <c:ptCount val="9"/>
                      <c:pt idx="0">
                        <c:v>836.00879492493573</c:v>
                      </c:pt>
                      <c:pt idx="1">
                        <c:v>419.01810273123391</c:v>
                      </c:pt>
                      <c:pt idx="2">
                        <c:v>302.28542827699738</c:v>
                      </c:pt>
                      <c:pt idx="3">
                        <c:v>285.65087706924936</c:v>
                      </c:pt>
                      <c:pt idx="4">
                        <c:v>283.97016507586756</c:v>
                      </c:pt>
                      <c:pt idx="5">
                        <c:v>282.60742980855525</c:v>
                      </c:pt>
                      <c:pt idx="6">
                        <c:v>281.5717592673123</c:v>
                      </c:pt>
                      <c:pt idx="7">
                        <c:v>281.11679953107983</c:v>
                      </c:pt>
                      <c:pt idx="8">
                        <c:v>280.89041745213882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5B4-48B2-89AA-C039551058D8}"/>
                  </c:ext>
                </c:extLst>
              </c15:ser>
            </c15:filteredScatterSeries>
          </c:ext>
        </c:extLst>
      </c:scatterChart>
      <c:valAx>
        <c:axId val="37790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Switching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07120"/>
        <c:crosses val="autoZero"/>
        <c:crossBetween val="midCat"/>
      </c:valAx>
      <c:valAx>
        <c:axId val="3779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Power Loss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0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349652</xdr:colOff>
      <xdr:row>1</xdr:row>
      <xdr:rowOff>192911</xdr:rowOff>
    </xdr:from>
    <xdr:to>
      <xdr:col>40</xdr:col>
      <xdr:colOff>603208</xdr:colOff>
      <xdr:row>4</xdr:row>
      <xdr:rowOff>157177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D0587-78AC-B591-F4F9-D3C720473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18829" y="385822"/>
          <a:ext cx="5172797" cy="543001"/>
        </a:xfrm>
        <a:prstGeom prst="rect">
          <a:avLst/>
        </a:prstGeom>
      </xdr:spPr>
    </xdr:pic>
    <xdr:clientData/>
  </xdr:twoCellAnchor>
  <xdr:twoCellAnchor editAs="oneCell">
    <xdr:from>
      <xdr:col>33</xdr:col>
      <xdr:colOff>180856</xdr:colOff>
      <xdr:row>6</xdr:row>
      <xdr:rowOff>156740</xdr:rowOff>
    </xdr:from>
    <xdr:to>
      <xdr:col>42</xdr:col>
      <xdr:colOff>109759</xdr:colOff>
      <xdr:row>25</xdr:row>
      <xdr:rowOff>96936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9CEF27-0F8D-D275-07BB-B3BB8F631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64938" y="1314208"/>
          <a:ext cx="5463049" cy="3605513"/>
        </a:xfrm>
        <a:prstGeom prst="rect">
          <a:avLst/>
        </a:prstGeom>
      </xdr:spPr>
    </xdr:pic>
    <xdr:clientData/>
  </xdr:twoCellAnchor>
  <xdr:twoCellAnchor editAs="oneCell">
    <xdr:from>
      <xdr:col>34</xdr:col>
      <xdr:colOff>506393</xdr:colOff>
      <xdr:row>25</xdr:row>
      <xdr:rowOff>84399</xdr:rowOff>
    </xdr:from>
    <xdr:to>
      <xdr:col>41</xdr:col>
      <xdr:colOff>298379</xdr:colOff>
      <xdr:row>31</xdr:row>
      <xdr:rowOff>41512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3F7257-A337-BADB-CE8D-BE3D2DFE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305380" y="4907184"/>
          <a:ext cx="4096322" cy="111458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0</xdr:rowOff>
    </xdr:from>
    <xdr:to>
      <xdr:col>32</xdr:col>
      <xdr:colOff>611251</xdr:colOff>
      <xdr:row>51</xdr:row>
      <xdr:rowOff>23758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B36B6D-6284-727F-6ECD-08D285329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64842" y="6366076"/>
          <a:ext cx="4915586" cy="3496163"/>
        </a:xfrm>
        <a:prstGeom prst="rect">
          <a:avLst/>
        </a:prstGeom>
      </xdr:spPr>
    </xdr:pic>
    <xdr:clientData/>
  </xdr:twoCellAnchor>
  <xdr:twoCellAnchor>
    <xdr:from>
      <xdr:col>6</xdr:col>
      <xdr:colOff>119362</xdr:colOff>
      <xdr:row>21</xdr:row>
      <xdr:rowOff>60284</xdr:rowOff>
    </xdr:from>
    <xdr:to>
      <xdr:col>24</xdr:col>
      <xdr:colOff>48226</xdr:colOff>
      <xdr:row>50</xdr:row>
      <xdr:rowOff>156739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52E30F-49B4-B897-033E-3C7395984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"/>
  <sheetViews>
    <sheetView zoomScale="150" workbookViewId="0">
      <selection activeCell="E5" sqref="A2:E5"/>
    </sheetView>
  </sheetViews>
  <sheetFormatPr defaultRowHeight="15" x14ac:dyDescent="0.25"/>
  <sheetData>
    <row r="2" spans="1:5" x14ac:dyDescent="0.25">
      <c r="A2" t="s">
        <v>0</v>
      </c>
      <c r="B2" t="s">
        <v>5</v>
      </c>
      <c r="C2" t="s">
        <v>2</v>
      </c>
      <c r="D2" t="s">
        <v>7</v>
      </c>
      <c r="E2" t="s">
        <v>6</v>
      </c>
    </row>
    <row r="3" spans="1:5" x14ac:dyDescent="0.25">
      <c r="A3">
        <v>27.09</v>
      </c>
      <c r="B3" s="1">
        <v>3.3619999999999997E-2</v>
      </c>
      <c r="C3" s="2">
        <f>A3*B3</f>
        <v>0.91076579999999996</v>
      </c>
      <c r="D3">
        <f>C3*60*40</f>
        <v>2185.8379199999999</v>
      </c>
      <c r="E3" t="s">
        <v>1</v>
      </c>
    </row>
    <row r="4" spans="1:5" x14ac:dyDescent="0.25">
      <c r="A4">
        <v>27.09</v>
      </c>
      <c r="B4" s="1">
        <v>9.4600000000000004E-2</v>
      </c>
      <c r="C4" s="3">
        <f>A4*B4</f>
        <v>2.5627140000000002</v>
      </c>
      <c r="D4">
        <f t="shared" ref="D4:D5" si="0">C4*60*40</f>
        <v>6150.5136000000002</v>
      </c>
      <c r="E4" t="s">
        <v>3</v>
      </c>
    </row>
    <row r="5" spans="1:5" x14ac:dyDescent="0.25">
      <c r="A5">
        <v>27.09</v>
      </c>
      <c r="B5">
        <v>0.17299999999999999</v>
      </c>
      <c r="C5">
        <f>A5*B5</f>
        <v>4.6865699999999997</v>
      </c>
      <c r="D5">
        <f t="shared" si="0"/>
        <v>11247.767999999998</v>
      </c>
      <c r="E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1723-7CEB-4088-9D43-CDD3A744E1FB}">
  <dimension ref="A1:AC20"/>
  <sheetViews>
    <sheetView tabSelected="1" zoomScale="79" workbookViewId="0">
      <selection activeCell="E20" sqref="E20"/>
    </sheetView>
  </sheetViews>
  <sheetFormatPr defaultRowHeight="15" x14ac:dyDescent="0.25"/>
  <cols>
    <col min="2" max="2" width="10.140625" bestFit="1" customWidth="1"/>
    <col min="3" max="3" width="18.42578125" bestFit="1" customWidth="1"/>
    <col min="4" max="4" width="12.5703125" bestFit="1" customWidth="1"/>
    <col min="5" max="5" width="9" bestFit="1" customWidth="1"/>
  </cols>
  <sheetData>
    <row r="1" spans="1:29" x14ac:dyDescent="0.25">
      <c r="A1" t="s">
        <v>24</v>
      </c>
      <c r="B1">
        <v>28</v>
      </c>
    </row>
    <row r="2" spans="1:29" x14ac:dyDescent="0.25">
      <c r="A2" t="s">
        <v>25</v>
      </c>
      <c r="B2">
        <v>20</v>
      </c>
      <c r="I2" t="s">
        <v>27</v>
      </c>
      <c r="M2" t="s">
        <v>30</v>
      </c>
      <c r="N2" t="s">
        <v>28</v>
      </c>
      <c r="R2" t="s">
        <v>32</v>
      </c>
      <c r="V2" t="s">
        <v>33</v>
      </c>
      <c r="Z2" t="s">
        <v>39</v>
      </c>
    </row>
    <row r="3" spans="1:29" x14ac:dyDescent="0.25">
      <c r="A3" t="s">
        <v>21</v>
      </c>
      <c r="B3">
        <v>2</v>
      </c>
      <c r="H3" t="s">
        <v>26</v>
      </c>
      <c r="I3" t="s">
        <v>8</v>
      </c>
      <c r="J3" t="s">
        <v>13</v>
      </c>
      <c r="K3" t="s">
        <v>17</v>
      </c>
      <c r="L3" t="s">
        <v>19</v>
      </c>
      <c r="N3" t="s">
        <v>8</v>
      </c>
      <c r="O3" t="s">
        <v>13</v>
      </c>
      <c r="P3" t="s">
        <v>17</v>
      </c>
      <c r="Q3" t="s">
        <v>19</v>
      </c>
      <c r="R3" t="s">
        <v>8</v>
      </c>
      <c r="S3" t="s">
        <v>13</v>
      </c>
      <c r="T3" t="s">
        <v>17</v>
      </c>
      <c r="U3" t="s">
        <v>19</v>
      </c>
      <c r="V3" t="s">
        <v>8</v>
      </c>
      <c r="W3" t="s">
        <v>13</v>
      </c>
      <c r="X3" t="s">
        <v>17</v>
      </c>
      <c r="Y3" t="s">
        <v>19</v>
      </c>
      <c r="Z3" t="s">
        <v>8</v>
      </c>
      <c r="AA3" t="s">
        <v>13</v>
      </c>
      <c r="AB3" t="s">
        <v>17</v>
      </c>
      <c r="AC3" t="s">
        <v>19</v>
      </c>
    </row>
    <row r="4" spans="1:29" x14ac:dyDescent="0.25">
      <c r="A4" t="s">
        <v>29</v>
      </c>
      <c r="B4" s="1">
        <v>7.1699999999999995E-5</v>
      </c>
      <c r="H4">
        <v>1000</v>
      </c>
      <c r="I4" s="1">
        <f>$B$1*$B$2*$H4*($B$14+B$15)/$B$3</f>
        <v>4.3400000000000001E-3</v>
      </c>
      <c r="J4" s="1">
        <f t="shared" ref="J4:L4" si="0">$B$1*$B$2*$H4*($B$14+C$15)/$B$3</f>
        <v>4.4800000000000005E-3</v>
      </c>
      <c r="K4" s="1">
        <f t="shared" si="0"/>
        <v>7.1120000000000003E-3</v>
      </c>
      <c r="L4" s="1">
        <f t="shared" si="0"/>
        <v>2.464E-3</v>
      </c>
      <c r="M4" s="2">
        <f>$B$1/(4*$B$4*$H4)</f>
        <v>97.629009762900978</v>
      </c>
      <c r="N4" s="1">
        <f>($B$2^2+$M4^2/12)*B$10*0.5</f>
        <v>0.57325694189138454</v>
      </c>
      <c r="O4" s="1">
        <f t="shared" ref="O4:Q12" si="1">($B$2^2+$M4^2/12)*C$10*0.5</f>
        <v>0.52548553006710241</v>
      </c>
      <c r="P4" s="1">
        <f t="shared" si="1"/>
        <v>835.99970692493571</v>
      </c>
      <c r="Q4" s="1">
        <f t="shared" si="1"/>
        <v>0.71657117736423059</v>
      </c>
      <c r="R4" s="1">
        <f>B$11*B$12*$H4</f>
        <v>7.000000000000001E-4</v>
      </c>
      <c r="S4" s="1">
        <f t="shared" ref="S4:U12" si="2">C$11*C$12*$H4</f>
        <v>6.8999999999999997E-4</v>
      </c>
      <c r="T4" s="1">
        <f t="shared" si="2"/>
        <v>1.0399999999999999E-3</v>
      </c>
      <c r="U4" s="1">
        <f t="shared" si="2"/>
        <v>8.5000000000000006E-5</v>
      </c>
      <c r="V4" s="1">
        <f>B$19*$B$2*(B$17+B$18)*$H4</f>
        <v>1.1934000000000001E-3</v>
      </c>
      <c r="W4" s="1">
        <f t="shared" ref="W4:Y4" si="3">C$19*$B$2*(C$17+C$18)*$H4</f>
        <v>5.5931999999999998E-4</v>
      </c>
      <c r="X4" s="1">
        <f t="shared" si="3"/>
        <v>9.3599999999999998E-4</v>
      </c>
      <c r="Y4" s="1">
        <f t="shared" si="3"/>
        <v>0</v>
      </c>
      <c r="Z4" s="1">
        <f>I4+N4+R4+V4</f>
        <v>0.5794903418913846</v>
      </c>
      <c r="AA4" s="1">
        <f t="shared" ref="AA4:AC12" si="4">J4+O4+S4+W4</f>
        <v>0.53121485006710245</v>
      </c>
      <c r="AB4" s="1">
        <f t="shared" si="4"/>
        <v>836.00879492493573</v>
      </c>
      <c r="AC4" s="1">
        <f t="shared" si="4"/>
        <v>0.71912017736423062</v>
      </c>
    </row>
    <row r="5" spans="1:29" x14ac:dyDescent="0.25">
      <c r="A5" t="s">
        <v>31</v>
      </c>
      <c r="B5">
        <v>0.25</v>
      </c>
      <c r="H5">
        <v>2000</v>
      </c>
      <c r="I5" s="1">
        <f t="shared" ref="I5:I9" si="5">$B$1*$B$2*$H5*($B$14+B$15)/$B$3</f>
        <v>8.6800000000000002E-3</v>
      </c>
      <c r="J5" s="1">
        <f t="shared" ref="J5:J9" si="6">$B$1*$B$2*$H5*($B$14+C$15)/$B$3</f>
        <v>8.9600000000000009E-3</v>
      </c>
      <c r="K5" s="1">
        <f t="shared" ref="K5:K9" si="7">$B$1*$B$2*$H5*($B$14+D$15)/$B$3</f>
        <v>1.4224000000000001E-2</v>
      </c>
      <c r="L5" s="1">
        <f t="shared" ref="L5:L9" si="8">$B$1*$B$2*$H5*($B$14+E$15)/$B$3</f>
        <v>4.9280000000000001E-3</v>
      </c>
      <c r="M5" s="2">
        <f t="shared" ref="M5:M9" si="9">$B$1/(4*$B$4*$H5)</f>
        <v>48.814504881450489</v>
      </c>
      <c r="N5" s="1">
        <f t="shared" ref="N5:N12" si="10">($B$2^2+$M5^2/12)*B$10*0.5</f>
        <v>0.28731423547284612</v>
      </c>
      <c r="O5" s="1">
        <f t="shared" si="1"/>
        <v>0.26337138251677561</v>
      </c>
      <c r="P5" s="1">
        <f t="shared" si="1"/>
        <v>418.99992673123393</v>
      </c>
      <c r="Q5" s="1">
        <f t="shared" si="1"/>
        <v>0.35914279434105761</v>
      </c>
      <c r="R5" s="1">
        <f t="shared" ref="R5:R12" si="11">B$11*B$12*$H5</f>
        <v>1.4000000000000002E-3</v>
      </c>
      <c r="S5" s="1">
        <f t="shared" si="2"/>
        <v>1.3799999999999999E-3</v>
      </c>
      <c r="T5" s="1">
        <f t="shared" si="2"/>
        <v>2.0799999999999998E-3</v>
      </c>
      <c r="U5" s="1">
        <f t="shared" si="2"/>
        <v>1.7000000000000001E-4</v>
      </c>
      <c r="V5" s="1">
        <f t="shared" ref="V5:V12" si="12">B$19*$B$2*(B$17+B$18)*$H5</f>
        <v>2.3868000000000001E-3</v>
      </c>
      <c r="W5" s="1">
        <f t="shared" ref="W5:W12" si="13">C$19*$B$2*(C$17+C$18)*$H5</f>
        <v>1.11864E-3</v>
      </c>
      <c r="X5" s="1">
        <f t="shared" ref="X5:X12" si="14">D$19*$B$2*(D$17+D$18)*$H5</f>
        <v>1.872E-3</v>
      </c>
      <c r="Y5" s="1">
        <f t="shared" ref="Y5:Y12" si="15">E$19*$B$2*(E$17+E$18)*$H5</f>
        <v>0</v>
      </c>
      <c r="Z5" s="1">
        <f t="shared" ref="Z5:Z12" si="16">I5+N5+R5+V5</f>
        <v>0.29978103547284618</v>
      </c>
      <c r="AA5" s="1">
        <f t="shared" si="4"/>
        <v>0.27483002251677563</v>
      </c>
      <c r="AB5" s="1">
        <f t="shared" si="4"/>
        <v>419.01810273123391</v>
      </c>
      <c r="AC5" s="1">
        <f t="shared" si="4"/>
        <v>0.36424079434105761</v>
      </c>
    </row>
    <row r="6" spans="1:29" x14ac:dyDescent="0.25">
      <c r="A6" t="s">
        <v>34</v>
      </c>
      <c r="B6" s="1">
        <v>1E-8</v>
      </c>
      <c r="H6">
        <v>5000</v>
      </c>
      <c r="I6" s="1">
        <f t="shared" si="5"/>
        <v>2.1700000000000001E-2</v>
      </c>
      <c r="J6" s="1">
        <f t="shared" si="6"/>
        <v>2.24E-2</v>
      </c>
      <c r="K6" s="1">
        <f t="shared" si="7"/>
        <v>3.5560000000000001E-2</v>
      </c>
      <c r="L6" s="1">
        <f t="shared" si="8"/>
        <v>1.2319999999999999E-2</v>
      </c>
      <c r="M6" s="2">
        <f t="shared" si="9"/>
        <v>19.525801952580196</v>
      </c>
      <c r="N6" s="1">
        <f t="shared" si="10"/>
        <v>0.20725027767565538</v>
      </c>
      <c r="O6" s="1">
        <f t="shared" si="1"/>
        <v>0.1899794212026841</v>
      </c>
      <c r="P6" s="1">
        <f t="shared" si="1"/>
        <v>302.23998827699739</v>
      </c>
      <c r="Q6" s="1">
        <f t="shared" si="1"/>
        <v>0.25906284709456923</v>
      </c>
      <c r="R6" s="1">
        <f t="shared" si="11"/>
        <v>3.5000000000000005E-3</v>
      </c>
      <c r="S6" s="1">
        <f t="shared" si="2"/>
        <v>3.4499999999999999E-3</v>
      </c>
      <c r="T6" s="1">
        <f t="shared" si="2"/>
        <v>5.1999999999999998E-3</v>
      </c>
      <c r="U6" s="1">
        <f t="shared" si="2"/>
        <v>4.2500000000000003E-4</v>
      </c>
      <c r="V6" s="1">
        <f t="shared" si="12"/>
        <v>5.9670000000000001E-3</v>
      </c>
      <c r="W6" s="1">
        <f t="shared" si="13"/>
        <v>2.7966000000000002E-3</v>
      </c>
      <c r="X6" s="1">
        <f t="shared" si="14"/>
        <v>4.6800000000000001E-3</v>
      </c>
      <c r="Y6" s="1">
        <f t="shared" si="15"/>
        <v>0</v>
      </c>
      <c r="Z6" s="1">
        <f t="shared" si="16"/>
        <v>0.23841727767565538</v>
      </c>
      <c r="AA6" s="1">
        <f t="shared" si="4"/>
        <v>0.21862602120268412</v>
      </c>
      <c r="AB6" s="1">
        <f t="shared" si="4"/>
        <v>302.28542827699738</v>
      </c>
      <c r="AC6" s="1">
        <f t="shared" si="4"/>
        <v>0.27180784709456923</v>
      </c>
    </row>
    <row r="7" spans="1:29" x14ac:dyDescent="0.25">
      <c r="H7">
        <v>10000</v>
      </c>
      <c r="I7" s="1">
        <f t="shared" si="5"/>
        <v>4.3400000000000001E-2</v>
      </c>
      <c r="J7" s="1">
        <f t="shared" si="6"/>
        <v>4.48E-2</v>
      </c>
      <c r="K7" s="1">
        <f t="shared" si="7"/>
        <v>7.1120000000000003E-2</v>
      </c>
      <c r="L7" s="1">
        <f t="shared" si="8"/>
        <v>2.4639999999999999E-2</v>
      </c>
      <c r="M7" s="2">
        <f t="shared" si="9"/>
        <v>9.7629009762900978</v>
      </c>
      <c r="N7" s="1">
        <f t="shared" si="10"/>
        <v>0.19581256941891384</v>
      </c>
      <c r="O7" s="1">
        <f t="shared" si="1"/>
        <v>0.17949485530067102</v>
      </c>
      <c r="P7" s="1">
        <f t="shared" si="1"/>
        <v>285.55999706924933</v>
      </c>
      <c r="Q7" s="1">
        <f t="shared" si="1"/>
        <v>0.24476571177364229</v>
      </c>
      <c r="R7" s="1">
        <f t="shared" si="11"/>
        <v>7.000000000000001E-3</v>
      </c>
      <c r="S7" s="1">
        <f t="shared" si="2"/>
        <v>6.8999999999999999E-3</v>
      </c>
      <c r="T7" s="1">
        <f t="shared" si="2"/>
        <v>1.04E-2</v>
      </c>
      <c r="U7" s="1">
        <f t="shared" si="2"/>
        <v>8.5000000000000006E-4</v>
      </c>
      <c r="V7" s="1">
        <f t="shared" si="12"/>
        <v>1.1934E-2</v>
      </c>
      <c r="W7" s="1">
        <f t="shared" si="13"/>
        <v>5.5932000000000004E-3</v>
      </c>
      <c r="X7" s="1">
        <f t="shared" si="14"/>
        <v>9.3600000000000003E-3</v>
      </c>
      <c r="Y7" s="1">
        <f t="shared" si="15"/>
        <v>0</v>
      </c>
      <c r="Z7" s="1">
        <f t="shared" si="16"/>
        <v>0.25814656941891384</v>
      </c>
      <c r="AA7" s="1">
        <f t="shared" si="4"/>
        <v>0.23678805530067101</v>
      </c>
      <c r="AB7" s="1">
        <f t="shared" si="4"/>
        <v>285.65087706924936</v>
      </c>
      <c r="AC7" s="1">
        <f t="shared" si="4"/>
        <v>0.27025571177364233</v>
      </c>
    </row>
    <row r="8" spans="1:29" x14ac:dyDescent="0.25">
      <c r="H8">
        <v>12000</v>
      </c>
      <c r="I8" s="1">
        <f t="shared" si="5"/>
        <v>5.2080000000000001E-2</v>
      </c>
      <c r="J8" s="1">
        <f t="shared" si="6"/>
        <v>5.3760000000000002E-2</v>
      </c>
      <c r="K8" s="1">
        <f t="shared" si="7"/>
        <v>8.5344000000000003E-2</v>
      </c>
      <c r="L8" s="1">
        <f t="shared" si="8"/>
        <v>2.9567999999999997E-2</v>
      </c>
      <c r="M8" s="2">
        <f t="shared" si="9"/>
        <v>8.1357508135750827</v>
      </c>
      <c r="N8" s="1">
        <f t="shared" si="10"/>
        <v>0.19464761765202349</v>
      </c>
      <c r="O8" s="1">
        <f t="shared" si="1"/>
        <v>0.17842698284768821</v>
      </c>
      <c r="P8" s="1">
        <f t="shared" si="1"/>
        <v>283.86110907586755</v>
      </c>
      <c r="Q8" s="1">
        <f t="shared" si="1"/>
        <v>0.24330952206502934</v>
      </c>
      <c r="R8" s="1">
        <f t="shared" si="11"/>
        <v>8.4000000000000012E-3</v>
      </c>
      <c r="S8" s="1">
        <f t="shared" si="2"/>
        <v>8.2799999999999992E-3</v>
      </c>
      <c r="T8" s="1">
        <f t="shared" si="2"/>
        <v>1.248E-2</v>
      </c>
      <c r="U8" s="1">
        <f t="shared" si="2"/>
        <v>1.0200000000000001E-3</v>
      </c>
      <c r="V8" s="1">
        <f t="shared" si="12"/>
        <v>1.4320800000000002E-2</v>
      </c>
      <c r="W8" s="1">
        <f t="shared" si="13"/>
        <v>6.7118400000000002E-3</v>
      </c>
      <c r="X8" s="1">
        <f t="shared" si="14"/>
        <v>1.1232000000000001E-2</v>
      </c>
      <c r="Y8" s="1">
        <f t="shared" si="15"/>
        <v>0</v>
      </c>
      <c r="Z8" s="1">
        <f t="shared" si="16"/>
        <v>0.26944841765202354</v>
      </c>
      <c r="AA8" s="1">
        <f t="shared" si="4"/>
        <v>0.24717882284768822</v>
      </c>
      <c r="AB8" s="1">
        <f t="shared" si="4"/>
        <v>283.97016507586756</v>
      </c>
      <c r="AC8" s="1">
        <f t="shared" si="4"/>
        <v>0.27389752206502938</v>
      </c>
    </row>
    <row r="9" spans="1:29" x14ac:dyDescent="0.25">
      <c r="B9" t="s">
        <v>8</v>
      </c>
      <c r="C9" t="s">
        <v>13</v>
      </c>
      <c r="D9" t="s">
        <v>17</v>
      </c>
      <c r="E9" t="s">
        <v>19</v>
      </c>
      <c r="H9">
        <v>15000</v>
      </c>
      <c r="I9" s="1">
        <f t="shared" si="5"/>
        <v>6.5100000000000005E-2</v>
      </c>
      <c r="J9" s="1">
        <f t="shared" si="6"/>
        <v>6.720000000000001E-2</v>
      </c>
      <c r="K9" s="1">
        <f t="shared" si="7"/>
        <v>0.10668000000000001</v>
      </c>
      <c r="L9" s="1">
        <f t="shared" si="8"/>
        <v>3.696E-2</v>
      </c>
      <c r="M9" s="2">
        <f t="shared" si="9"/>
        <v>6.5086006508600658</v>
      </c>
      <c r="N9" s="1">
        <f t="shared" si="10"/>
        <v>0.19369447529729503</v>
      </c>
      <c r="O9" s="1">
        <f t="shared" si="1"/>
        <v>0.17755326902252044</v>
      </c>
      <c r="P9" s="1">
        <f t="shared" si="1"/>
        <v>282.47110980855524</v>
      </c>
      <c r="Q9" s="1">
        <f t="shared" si="1"/>
        <v>0.24211809412161878</v>
      </c>
      <c r="R9" s="1">
        <f t="shared" si="11"/>
        <v>1.0500000000000001E-2</v>
      </c>
      <c r="S9" s="1">
        <f t="shared" si="2"/>
        <v>1.035E-2</v>
      </c>
      <c r="T9" s="1">
        <f t="shared" si="2"/>
        <v>1.5599999999999999E-2</v>
      </c>
      <c r="U9" s="1">
        <f t="shared" si="2"/>
        <v>1.2750000000000001E-3</v>
      </c>
      <c r="V9" s="1">
        <f t="shared" si="12"/>
        <v>1.7901E-2</v>
      </c>
      <c r="W9" s="1">
        <f t="shared" si="13"/>
        <v>8.3897999999999993E-3</v>
      </c>
      <c r="X9" s="1">
        <f t="shared" si="14"/>
        <v>1.404E-2</v>
      </c>
      <c r="Y9" s="1">
        <f t="shared" si="15"/>
        <v>0</v>
      </c>
      <c r="Z9" s="1">
        <f t="shared" si="16"/>
        <v>0.28719547529729506</v>
      </c>
      <c r="AA9" s="1">
        <f t="shared" si="4"/>
        <v>0.26349306902252045</v>
      </c>
      <c r="AB9" s="1">
        <f t="shared" si="4"/>
        <v>282.60742980855525</v>
      </c>
      <c r="AC9" s="1">
        <f t="shared" si="4"/>
        <v>0.2803530941216188</v>
      </c>
    </row>
    <row r="10" spans="1:29" x14ac:dyDescent="0.25">
      <c r="A10" t="s">
        <v>9</v>
      </c>
      <c r="B10" s="1">
        <v>9.6000000000000002E-4</v>
      </c>
      <c r="C10" s="1">
        <v>8.8000000000000003E-4</v>
      </c>
      <c r="D10">
        <v>1.4</v>
      </c>
      <c r="E10" s="1">
        <v>1.1999999999999999E-3</v>
      </c>
      <c r="H10">
        <v>20000</v>
      </c>
      <c r="I10" s="1">
        <f t="shared" ref="I10:L12" si="17">$B$1*$B$2*$H10*($B$14+B$15)/$B$3</f>
        <v>8.6800000000000002E-2</v>
      </c>
      <c r="J10" s="1">
        <f t="shared" si="17"/>
        <v>8.9599999999999999E-2</v>
      </c>
      <c r="K10" s="1">
        <f t="shared" si="17"/>
        <v>0.14224000000000001</v>
      </c>
      <c r="L10" s="1">
        <f t="shared" si="17"/>
        <v>4.9279999999999997E-2</v>
      </c>
      <c r="M10" s="2">
        <f>$B$1/(4*$B$4*$H10)</f>
        <v>4.8814504881450489</v>
      </c>
      <c r="N10" s="1">
        <f t="shared" si="10"/>
        <v>0.19295314235472846</v>
      </c>
      <c r="O10" s="1">
        <f t="shared" si="1"/>
        <v>0.17687371382516776</v>
      </c>
      <c r="P10" s="1">
        <f t="shared" si="1"/>
        <v>281.38999926731231</v>
      </c>
      <c r="Q10" s="1">
        <f t="shared" si="1"/>
        <v>0.24119142794341056</v>
      </c>
      <c r="R10" s="1">
        <f t="shared" si="11"/>
        <v>1.4000000000000002E-2</v>
      </c>
      <c r="S10" s="1">
        <f t="shared" si="2"/>
        <v>1.38E-2</v>
      </c>
      <c r="T10" s="1">
        <f t="shared" si="2"/>
        <v>2.0799999999999999E-2</v>
      </c>
      <c r="U10" s="1">
        <f t="shared" si="2"/>
        <v>1.7000000000000001E-3</v>
      </c>
      <c r="V10" s="1">
        <f t="shared" si="12"/>
        <v>2.3868E-2</v>
      </c>
      <c r="W10" s="1">
        <f t="shared" si="13"/>
        <v>1.1186400000000001E-2</v>
      </c>
      <c r="X10" s="1">
        <f t="shared" si="14"/>
        <v>1.8720000000000001E-2</v>
      </c>
      <c r="Y10" s="1">
        <f t="shared" si="15"/>
        <v>0</v>
      </c>
      <c r="Z10" s="1">
        <f t="shared" si="16"/>
        <v>0.31762114235472849</v>
      </c>
      <c r="AA10" s="1">
        <f t="shared" si="4"/>
        <v>0.29146011382516773</v>
      </c>
      <c r="AB10" s="1">
        <f t="shared" si="4"/>
        <v>281.5717592673123</v>
      </c>
      <c r="AC10" s="1">
        <f t="shared" si="4"/>
        <v>0.29217142794341056</v>
      </c>
    </row>
    <row r="11" spans="1:29" x14ac:dyDescent="0.25">
      <c r="A11" t="s">
        <v>10</v>
      </c>
      <c r="B11" s="1">
        <v>7.0000000000000005E-8</v>
      </c>
      <c r="C11" s="1">
        <v>6.8999999999999996E-8</v>
      </c>
      <c r="D11" s="1">
        <v>1.04E-7</v>
      </c>
      <c r="E11" s="1">
        <v>1.7E-8</v>
      </c>
      <c r="H11">
        <v>25000</v>
      </c>
      <c r="I11" s="1">
        <f t="shared" si="17"/>
        <v>0.1085</v>
      </c>
      <c r="J11" s="1">
        <f t="shared" si="17"/>
        <v>0.112</v>
      </c>
      <c r="K11" s="1">
        <f t="shared" si="17"/>
        <v>0.17780000000000001</v>
      </c>
      <c r="L11" s="1">
        <f t="shared" si="17"/>
        <v>6.1599999999999995E-2</v>
      </c>
      <c r="M11" s="2">
        <f>$B$1/(4*$B$4*$H11)</f>
        <v>3.9051603905160395</v>
      </c>
      <c r="N11" s="1">
        <f t="shared" si="10"/>
        <v>0.19261001110702622</v>
      </c>
      <c r="O11" s="1">
        <f t="shared" si="1"/>
        <v>0.17655917684810737</v>
      </c>
      <c r="P11" s="1">
        <f t="shared" si="1"/>
        <v>280.88959953107985</v>
      </c>
      <c r="Q11" s="1">
        <f t="shared" si="1"/>
        <v>0.24076251388378275</v>
      </c>
      <c r="R11" s="1">
        <f t="shared" si="11"/>
        <v>1.7500000000000002E-2</v>
      </c>
      <c r="S11" s="1">
        <f t="shared" si="2"/>
        <v>1.7249999999999998E-2</v>
      </c>
      <c r="T11" s="1">
        <f t="shared" si="2"/>
        <v>2.5999999999999999E-2</v>
      </c>
      <c r="U11" s="1">
        <f t="shared" si="2"/>
        <v>2.1250000000000002E-3</v>
      </c>
      <c r="V11" s="1">
        <f t="shared" si="12"/>
        <v>2.9835E-2</v>
      </c>
      <c r="W11" s="1">
        <f t="shared" si="13"/>
        <v>1.3983000000000001E-2</v>
      </c>
      <c r="X11" s="1">
        <f t="shared" si="14"/>
        <v>2.3400000000000001E-2</v>
      </c>
      <c r="Y11" s="1">
        <f t="shared" si="15"/>
        <v>0</v>
      </c>
      <c r="Z11" s="1">
        <f t="shared" si="16"/>
        <v>0.34844501110702625</v>
      </c>
      <c r="AA11" s="1">
        <f t="shared" si="4"/>
        <v>0.3197921768481074</v>
      </c>
      <c r="AB11" s="1">
        <f t="shared" si="4"/>
        <v>281.11679953107983</v>
      </c>
      <c r="AC11" s="1">
        <f t="shared" si="4"/>
        <v>0.30448751388378276</v>
      </c>
    </row>
    <row r="12" spans="1:29" x14ac:dyDescent="0.25">
      <c r="A12" t="s">
        <v>11</v>
      </c>
      <c r="B12">
        <v>10</v>
      </c>
      <c r="C12">
        <v>10</v>
      </c>
      <c r="D12">
        <v>10</v>
      </c>
      <c r="E12">
        <v>5</v>
      </c>
      <c r="H12">
        <v>30000</v>
      </c>
      <c r="I12" s="1">
        <f t="shared" si="17"/>
        <v>0.13020000000000001</v>
      </c>
      <c r="J12" s="1">
        <f t="shared" si="17"/>
        <v>0.13440000000000002</v>
      </c>
      <c r="K12" s="1">
        <f t="shared" si="17"/>
        <v>0.21336000000000002</v>
      </c>
      <c r="L12" s="1">
        <f t="shared" si="17"/>
        <v>7.392E-2</v>
      </c>
      <c r="M12" s="2">
        <f>$B$1/(4*$B$4*$H12)</f>
        <v>3.2543003254300329</v>
      </c>
      <c r="N12" s="1">
        <f t="shared" si="10"/>
        <v>0.19242361882432377</v>
      </c>
      <c r="O12" s="1">
        <f t="shared" si="1"/>
        <v>0.17638831725563012</v>
      </c>
      <c r="P12" s="1">
        <f t="shared" si="1"/>
        <v>280.6177774521388</v>
      </c>
      <c r="Q12" s="1">
        <f t="shared" si="1"/>
        <v>0.24052952353040469</v>
      </c>
      <c r="R12" s="1">
        <f t="shared" si="11"/>
        <v>2.1000000000000001E-2</v>
      </c>
      <c r="S12" s="1">
        <f t="shared" si="2"/>
        <v>2.07E-2</v>
      </c>
      <c r="T12" s="1">
        <f t="shared" si="2"/>
        <v>3.1199999999999999E-2</v>
      </c>
      <c r="U12" s="1">
        <f t="shared" si="2"/>
        <v>2.5500000000000002E-3</v>
      </c>
      <c r="V12" s="1">
        <f t="shared" si="12"/>
        <v>3.5802E-2</v>
      </c>
      <c r="W12" s="1">
        <f t="shared" si="13"/>
        <v>1.6779599999999999E-2</v>
      </c>
      <c r="X12" s="1">
        <f t="shared" si="14"/>
        <v>2.8080000000000001E-2</v>
      </c>
      <c r="Y12" s="1">
        <f t="shared" si="15"/>
        <v>0</v>
      </c>
      <c r="Z12" s="1">
        <f t="shared" si="16"/>
        <v>0.3794256188243238</v>
      </c>
      <c r="AA12" s="1">
        <f t="shared" si="4"/>
        <v>0.34826791725563017</v>
      </c>
      <c r="AB12" s="1">
        <f t="shared" si="4"/>
        <v>280.89041745213882</v>
      </c>
      <c r="AC12" s="1">
        <f t="shared" si="4"/>
        <v>0.31699952353040467</v>
      </c>
    </row>
    <row r="13" spans="1:29" x14ac:dyDescent="0.25">
      <c r="A13" t="s">
        <v>12</v>
      </c>
      <c r="B13">
        <v>1.1499999999999999</v>
      </c>
      <c r="C13">
        <v>1</v>
      </c>
      <c r="D13">
        <v>1.6</v>
      </c>
      <c r="E13">
        <v>0.6</v>
      </c>
    </row>
    <row r="14" spans="1:29" x14ac:dyDescent="0.25">
      <c r="A14" t="s">
        <v>22</v>
      </c>
      <c r="B14" s="1">
        <v>6.4000000000000002E-9</v>
      </c>
      <c r="C14" s="1">
        <v>1.0999999999999999E-8</v>
      </c>
      <c r="D14" s="1">
        <v>2.1999999999999998E-8</v>
      </c>
      <c r="E14" s="1">
        <v>3.8000000000000001E-9</v>
      </c>
    </row>
    <row r="15" spans="1:29" x14ac:dyDescent="0.25">
      <c r="A15" t="s">
        <v>23</v>
      </c>
      <c r="B15" s="1">
        <v>9.1000000000000004E-9</v>
      </c>
      <c r="C15" s="1">
        <v>9.5999999999999999E-9</v>
      </c>
      <c r="D15" s="1">
        <v>1.9000000000000001E-8</v>
      </c>
      <c r="E15" s="1">
        <v>2.4E-9</v>
      </c>
    </row>
    <row r="16" spans="1:29" x14ac:dyDescent="0.25">
      <c r="A16" t="s">
        <v>35</v>
      </c>
    </row>
    <row r="17" spans="1:5" x14ac:dyDescent="0.25">
      <c r="A17" t="s">
        <v>36</v>
      </c>
      <c r="B17" s="1">
        <f>$B$6+0.000000031</f>
        <v>4.0999999999999997E-8</v>
      </c>
      <c r="C17" s="1">
        <f t="shared" ref="C17" si="18">$B$6+0.0000000093</f>
        <v>1.9300000000000001E-8</v>
      </c>
      <c r="D17" s="1">
        <f>$B$6+0.000000018</f>
        <v>2.7999999999999999E-8</v>
      </c>
      <c r="E17" s="1">
        <f>$B$6</f>
        <v>1E-8</v>
      </c>
    </row>
    <row r="18" spans="1:5" x14ac:dyDescent="0.25">
      <c r="A18" t="s">
        <v>37</v>
      </c>
      <c r="B18" s="1">
        <f>$B$6+0.0000000255</f>
        <v>3.55E-8</v>
      </c>
      <c r="C18" s="1">
        <f t="shared" ref="C18" si="19">$B$6+0.0000000061</f>
        <v>1.6099999999999999E-8</v>
      </c>
      <c r="D18" s="1">
        <f>$B$6+0.000000014</f>
        <v>2.4E-8</v>
      </c>
      <c r="E18" s="1">
        <f>$B$6</f>
        <v>1E-8</v>
      </c>
    </row>
    <row r="19" spans="1:5" x14ac:dyDescent="0.25">
      <c r="A19" t="s">
        <v>38</v>
      </c>
      <c r="B19">
        <v>0.78</v>
      </c>
      <c r="C19">
        <v>0.79</v>
      </c>
      <c r="D19">
        <v>0.9</v>
      </c>
      <c r="E19">
        <v>0</v>
      </c>
    </row>
    <row r="20" spans="1:5" x14ac:dyDescent="0.25">
      <c r="A20" t="s">
        <v>14</v>
      </c>
      <c r="B20" t="s">
        <v>15</v>
      </c>
      <c r="C20" t="s">
        <v>16</v>
      </c>
      <c r="D20" t="s">
        <v>18</v>
      </c>
      <c r="E20" t="s">
        <v>20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Consumption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farrell</dc:creator>
  <cp:lastModifiedBy>Farrell, Conor</cp:lastModifiedBy>
  <dcterms:created xsi:type="dcterms:W3CDTF">2015-06-05T18:17:20Z</dcterms:created>
  <dcterms:modified xsi:type="dcterms:W3CDTF">2026-05-05T15:23:53Z</dcterms:modified>
</cp:coreProperties>
</file>