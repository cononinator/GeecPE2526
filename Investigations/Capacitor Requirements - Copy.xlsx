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Masters\Project\Investigations\"/>
    </mc:Choice>
  </mc:AlternateContent>
  <xr:revisionPtr revIDLastSave="0" documentId="13_ncr:1_{65E9F2B2-6894-4B63-B2BB-77D7CEBD55D4}" xr6:coauthVersionLast="47" xr6:coauthVersionMax="47" xr10:uidLastSave="{00000000-0000-0000-0000-000000000000}"/>
  <bookViews>
    <workbookView xWindow="-16320" yWindow="4290" windowWidth="16440" windowHeight="28440" activeTab="1" xr2:uid="{DD2C5146-D620-44A2-ADAA-3C1546CCD2D9}"/>
  </bookViews>
  <sheets>
    <sheet name="Sheet1" sheetId="1" r:id="rId1"/>
    <sheet name="Capacitor Impedance" sheetId="3" r:id="rId2"/>
    <sheet name="Capacitor Input Current" sheetId="2" r:id="rId3"/>
  </sheets>
  <definedNames>
    <definedName name="Curr">'Capacitor Impedance'!$B$2</definedName>
    <definedName name="Freq">'Capacitor Impedance'!$B$1</definedName>
    <definedName name="Frequency">Sheet1!$B$1</definedName>
    <definedName name="Inductance">Sheet1!$B$2</definedName>
    <definedName name="Irms">Sheet1!$B$4</definedName>
    <definedName name="V_ripple">Sheet1!$B$5</definedName>
    <definedName name="Vin">Sheet1!$B$3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E27" i="3"/>
  <c r="E15" i="3"/>
  <c r="I15" i="3"/>
  <c r="L15" i="3"/>
  <c r="B15" i="3"/>
  <c r="B16" i="3" s="1"/>
  <c r="B21" i="3"/>
  <c r="E12" i="3"/>
  <c r="L12" i="3"/>
  <c r="I12" i="3"/>
  <c r="J12" i="3"/>
  <c r="I13" i="3" s="1"/>
  <c r="B12" i="3"/>
  <c r="L4" i="3"/>
  <c r="L6" i="3" s="1"/>
  <c r="M12" i="3" s="1"/>
  <c r="L13" i="3" s="1"/>
  <c r="I4" i="3"/>
  <c r="I6" i="3"/>
  <c r="E6" i="3"/>
  <c r="F12" i="3" s="1"/>
  <c r="B6" i="3"/>
  <c r="C12" i="3" s="1"/>
  <c r="B13" i="3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E3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B8" i="1"/>
  <c r="B9" i="1"/>
  <c r="B10" i="1"/>
  <c r="B11" i="1"/>
  <c r="B12" i="1"/>
  <c r="B13" i="1"/>
  <c r="B14" i="1"/>
  <c r="B15" i="1"/>
  <c r="B16" i="1"/>
  <c r="B17" i="1"/>
  <c r="B18" i="1"/>
  <c r="B19" i="1"/>
  <c r="D19" i="1" s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D43" i="1" s="1"/>
  <c r="B44" i="1"/>
  <c r="B45" i="1"/>
  <c r="B46" i="1"/>
  <c r="B47" i="1"/>
  <c r="B48" i="1"/>
  <c r="B49" i="1"/>
  <c r="B50" i="1"/>
  <c r="B51" i="1"/>
  <c r="B52" i="1"/>
  <c r="B53" i="1"/>
  <c r="B54" i="1"/>
  <c r="B55" i="1"/>
  <c r="D55" i="1" s="1"/>
  <c r="B56" i="1"/>
  <c r="B57" i="1"/>
  <c r="B58" i="1"/>
  <c r="B59" i="1"/>
  <c r="B60" i="1"/>
  <c r="B61" i="1"/>
  <c r="B62" i="1"/>
  <c r="B63" i="1"/>
  <c r="B64" i="1"/>
  <c r="B65" i="1"/>
  <c r="B66" i="1"/>
  <c r="B67" i="1"/>
  <c r="D67" i="1" s="1"/>
  <c r="B68" i="1"/>
  <c r="B69" i="1"/>
  <c r="B70" i="1"/>
  <c r="B71" i="1"/>
  <c r="B72" i="1"/>
  <c r="B73" i="1"/>
  <c r="B74" i="1"/>
  <c r="B75" i="1"/>
  <c r="B76" i="1"/>
  <c r="B77" i="1"/>
  <c r="B78" i="1"/>
  <c r="B79" i="1"/>
  <c r="D79" i="1" s="1"/>
  <c r="B80" i="1"/>
  <c r="B81" i="1"/>
  <c r="B82" i="1"/>
  <c r="B83" i="1"/>
  <c r="B84" i="1"/>
  <c r="B85" i="1"/>
  <c r="D85" i="1" s="1"/>
  <c r="B86" i="1"/>
  <c r="B87" i="1"/>
  <c r="B88" i="1"/>
  <c r="B89" i="1"/>
  <c r="B90" i="1"/>
  <c r="B91" i="1"/>
  <c r="D91" i="1" s="1"/>
  <c r="B92" i="1"/>
  <c r="B93" i="1"/>
  <c r="B94" i="1"/>
  <c r="B95" i="1"/>
  <c r="B96" i="1"/>
  <c r="B97" i="1"/>
  <c r="E97" i="1" s="1"/>
  <c r="B98" i="1"/>
  <c r="B99" i="1"/>
  <c r="B100" i="1"/>
  <c r="B101" i="1"/>
  <c r="B102" i="1"/>
  <c r="B103" i="1"/>
  <c r="D103" i="1" s="1"/>
  <c r="B104" i="1"/>
  <c r="B105" i="1"/>
  <c r="B106" i="1"/>
  <c r="B107" i="1"/>
  <c r="B108" i="1"/>
  <c r="B109" i="1"/>
  <c r="D109" i="1" s="1"/>
  <c r="B110" i="1"/>
  <c r="B111" i="1"/>
  <c r="B112" i="1"/>
  <c r="B113" i="1"/>
  <c r="B114" i="1"/>
  <c r="B115" i="1"/>
  <c r="D115" i="1" s="1"/>
  <c r="B116" i="1"/>
  <c r="B117" i="1"/>
  <c r="B118" i="1"/>
  <c r="B119" i="1"/>
  <c r="B120" i="1"/>
  <c r="B121" i="1"/>
  <c r="D121" i="1" s="1"/>
  <c r="B122" i="1"/>
  <c r="B123" i="1"/>
  <c r="B124" i="1"/>
  <c r="B125" i="1"/>
  <c r="B126" i="1"/>
  <c r="B127" i="1"/>
  <c r="D127" i="1" s="1"/>
  <c r="B128" i="1"/>
  <c r="B129" i="1"/>
  <c r="B130" i="1"/>
  <c r="B131" i="1"/>
  <c r="B132" i="1"/>
  <c r="B133" i="1"/>
  <c r="D133" i="1" s="1"/>
  <c r="B134" i="1"/>
  <c r="B135" i="1"/>
  <c r="B136" i="1"/>
  <c r="B137" i="1"/>
  <c r="B138" i="1"/>
  <c r="B139" i="1"/>
  <c r="D139" i="1" s="1"/>
  <c r="B140" i="1"/>
  <c r="B141" i="1"/>
  <c r="B142" i="1"/>
  <c r="B143" i="1"/>
  <c r="B144" i="1"/>
  <c r="B145" i="1"/>
  <c r="E145" i="1" s="1"/>
  <c r="B146" i="1"/>
  <c r="B147" i="1"/>
  <c r="B148" i="1"/>
  <c r="B149" i="1"/>
  <c r="B150" i="1"/>
  <c r="B151" i="1"/>
  <c r="B152" i="1"/>
  <c r="B153" i="1"/>
  <c r="B154" i="1"/>
  <c r="B155" i="1"/>
  <c r="B156" i="1"/>
  <c r="B157" i="1"/>
  <c r="E157" i="1" s="1"/>
  <c r="B158" i="1"/>
  <c r="B159" i="1"/>
  <c r="B160" i="1"/>
  <c r="B161" i="1"/>
  <c r="B162" i="1"/>
  <c r="B163" i="1"/>
  <c r="D163" i="1" s="1"/>
  <c r="B164" i="1"/>
  <c r="B165" i="1"/>
  <c r="B166" i="1"/>
  <c r="B167" i="1"/>
  <c r="B168" i="1"/>
  <c r="B169" i="1"/>
  <c r="D169" i="1" s="1"/>
  <c r="B170" i="1"/>
  <c r="B171" i="1"/>
  <c r="B172" i="1"/>
  <c r="B173" i="1"/>
  <c r="B174" i="1"/>
  <c r="B175" i="1"/>
  <c r="D175" i="1" s="1"/>
  <c r="B176" i="1"/>
  <c r="B177" i="1"/>
  <c r="B178" i="1"/>
  <c r="B179" i="1"/>
  <c r="B180" i="1"/>
  <c r="B181" i="1"/>
  <c r="D181" i="1" s="1"/>
  <c r="B182" i="1"/>
  <c r="B183" i="1"/>
  <c r="B184" i="1"/>
  <c r="B185" i="1"/>
  <c r="B186" i="1"/>
  <c r="B187" i="1"/>
  <c r="D187" i="1" s="1"/>
  <c r="B188" i="1"/>
  <c r="B189" i="1"/>
  <c r="B190" i="1"/>
  <c r="B191" i="1"/>
  <c r="B192" i="1"/>
  <c r="B193" i="1"/>
  <c r="D193" i="1" s="1"/>
  <c r="B194" i="1"/>
  <c r="B195" i="1"/>
  <c r="B196" i="1"/>
  <c r="B197" i="1"/>
  <c r="B198" i="1"/>
  <c r="B199" i="1"/>
  <c r="D199" i="1" s="1"/>
  <c r="B200" i="1"/>
  <c r="B201" i="1"/>
  <c r="B202" i="1"/>
  <c r="B203" i="1"/>
  <c r="B204" i="1"/>
  <c r="B205" i="1"/>
  <c r="D205" i="1" s="1"/>
  <c r="B206" i="1"/>
  <c r="B7" i="1"/>
  <c r="E13" i="3" l="1"/>
  <c r="I16" i="3"/>
  <c r="L16" i="3"/>
  <c r="E16" i="3"/>
  <c r="D188" i="1"/>
  <c r="D164" i="1"/>
  <c r="D104" i="1"/>
  <c r="D176" i="1"/>
  <c r="D140" i="1"/>
  <c r="F140" i="1" s="1"/>
  <c r="D128" i="1"/>
  <c r="D116" i="1"/>
  <c r="F116" i="1" s="1"/>
  <c r="D68" i="1"/>
  <c r="F68" i="1" s="1"/>
  <c r="D200" i="1"/>
  <c r="D152" i="1"/>
  <c r="D92" i="1"/>
  <c r="D189" i="1"/>
  <c r="F189" i="1" s="1"/>
  <c r="D177" i="1"/>
  <c r="D153" i="1"/>
  <c r="D141" i="1"/>
  <c r="D129" i="1"/>
  <c r="D117" i="1"/>
  <c r="F117" i="1" s="1"/>
  <c r="D105" i="1"/>
  <c r="D93" i="1"/>
  <c r="F93" i="1" s="1"/>
  <c r="D81" i="1"/>
  <c r="F81" i="1" s="1"/>
  <c r="D69" i="1"/>
  <c r="D57" i="1"/>
  <c r="F57" i="1" s="1"/>
  <c r="D45" i="1"/>
  <c r="F45" i="1" s="1"/>
  <c r="D33" i="1"/>
  <c r="F33" i="1" s="1"/>
  <c r="D21" i="1"/>
  <c r="D165" i="1"/>
  <c r="D80" i="1"/>
  <c r="D56" i="1"/>
  <c r="D44" i="1"/>
  <c r="D32" i="1"/>
  <c r="D20" i="1"/>
  <c r="F20" i="1" s="1"/>
  <c r="D8" i="1"/>
  <c r="F8" i="1" s="1"/>
  <c r="D201" i="1"/>
  <c r="F201" i="1" s="1"/>
  <c r="D202" i="1"/>
  <c r="F202" i="1" s="1"/>
  <c r="D190" i="1"/>
  <c r="F190" i="1" s="1"/>
  <c r="D178" i="1"/>
  <c r="F178" i="1" s="1"/>
  <c r="D166" i="1"/>
  <c r="D154" i="1"/>
  <c r="D142" i="1"/>
  <c r="D130" i="1"/>
  <c r="D118" i="1"/>
  <c r="F118" i="1" s="1"/>
  <c r="D106" i="1"/>
  <c r="F106" i="1" s="1"/>
  <c r="D94" i="1"/>
  <c r="F94" i="1" s="1"/>
  <c r="D82" i="1"/>
  <c r="F82" i="1" s="1"/>
  <c r="D70" i="1"/>
  <c r="F70" i="1" s="1"/>
  <c r="D58" i="1"/>
  <c r="F58" i="1" s="1"/>
  <c r="D46" i="1"/>
  <c r="F46" i="1" s="1"/>
  <c r="D34" i="1"/>
  <c r="F34" i="1" s="1"/>
  <c r="D22" i="1"/>
  <c r="D10" i="1"/>
  <c r="D9" i="1"/>
  <c r="D151" i="1"/>
  <c r="D31" i="1"/>
  <c r="D198" i="1"/>
  <c r="D150" i="1"/>
  <c r="F150" i="1" s="1"/>
  <c r="D102" i="1"/>
  <c r="F102" i="1" s="1"/>
  <c r="D66" i="1"/>
  <c r="F66" i="1" s="1"/>
  <c r="D54" i="1"/>
  <c r="F54" i="1" s="1"/>
  <c r="D18" i="1"/>
  <c r="F18" i="1" s="1"/>
  <c r="D186" i="1"/>
  <c r="F186" i="1" s="1"/>
  <c r="D138" i="1"/>
  <c r="F138" i="1" s="1"/>
  <c r="D114" i="1"/>
  <c r="F114" i="1" s="1"/>
  <c r="D42" i="1"/>
  <c r="F42" i="1" s="1"/>
  <c r="D162" i="1"/>
  <c r="F162" i="1" s="1"/>
  <c r="D90" i="1"/>
  <c r="F90" i="1" s="1"/>
  <c r="D197" i="1"/>
  <c r="F197" i="1" s="1"/>
  <c r="D174" i="1"/>
  <c r="F174" i="1" s="1"/>
  <c r="D126" i="1"/>
  <c r="F126" i="1" s="1"/>
  <c r="D78" i="1"/>
  <c r="F78" i="1" s="1"/>
  <c r="D30" i="1"/>
  <c r="F30" i="1" s="1"/>
  <c r="E161" i="1"/>
  <c r="D125" i="1"/>
  <c r="D65" i="1"/>
  <c r="D41" i="1"/>
  <c r="E17" i="1"/>
  <c r="D184" i="1"/>
  <c r="D148" i="1"/>
  <c r="F148" i="1" s="1"/>
  <c r="D124" i="1"/>
  <c r="D100" i="1"/>
  <c r="D64" i="1"/>
  <c r="D28" i="1"/>
  <c r="D173" i="1"/>
  <c r="D77" i="1"/>
  <c r="F77" i="1" s="1"/>
  <c r="D53" i="1"/>
  <c r="D29" i="1"/>
  <c r="D196" i="1"/>
  <c r="D172" i="1"/>
  <c r="E160" i="1"/>
  <c r="D136" i="1"/>
  <c r="D112" i="1"/>
  <c r="E88" i="1"/>
  <c r="D76" i="1"/>
  <c r="D52" i="1"/>
  <c r="F52" i="1" s="1"/>
  <c r="D40" i="1"/>
  <c r="D185" i="1"/>
  <c r="D149" i="1"/>
  <c r="D101" i="1"/>
  <c r="D206" i="1"/>
  <c r="D194" i="1"/>
  <c r="D182" i="1"/>
  <c r="D170" i="1"/>
  <c r="E158" i="1"/>
  <c r="D146" i="1"/>
  <c r="D134" i="1"/>
  <c r="D122" i="1"/>
  <c r="D98" i="1"/>
  <c r="D86" i="1"/>
  <c r="D74" i="1"/>
  <c r="D62" i="1"/>
  <c r="D50" i="1"/>
  <c r="D26" i="1"/>
  <c r="D14" i="1"/>
  <c r="D13" i="1"/>
  <c r="E73" i="1"/>
  <c r="D49" i="1"/>
  <c r="F49" i="1" s="1"/>
  <c r="E25" i="1"/>
  <c r="D204" i="1"/>
  <c r="F204" i="1" s="1"/>
  <c r="D192" i="1"/>
  <c r="F192" i="1" s="1"/>
  <c r="D180" i="1"/>
  <c r="D168" i="1"/>
  <c r="D156" i="1"/>
  <c r="E144" i="1"/>
  <c r="D132" i="1"/>
  <c r="D120" i="1"/>
  <c r="D108" i="1"/>
  <c r="E96" i="1"/>
  <c r="D84" i="1"/>
  <c r="D72" i="1"/>
  <c r="D60" i="1"/>
  <c r="F60" i="1" s="1"/>
  <c r="D48" i="1"/>
  <c r="D36" i="1"/>
  <c r="D24" i="1"/>
  <c r="D12" i="1"/>
  <c r="E61" i="1"/>
  <c r="E37" i="1"/>
  <c r="D203" i="1"/>
  <c r="D191" i="1"/>
  <c r="D179" i="1"/>
  <c r="D167" i="1"/>
  <c r="D155" i="1"/>
  <c r="F155" i="1" s="1"/>
  <c r="D143" i="1"/>
  <c r="F143" i="1" s="1"/>
  <c r="D131" i="1"/>
  <c r="D119" i="1"/>
  <c r="D107" i="1"/>
  <c r="D95" i="1"/>
  <c r="D83" i="1"/>
  <c r="D71" i="1"/>
  <c r="D59" i="1"/>
  <c r="D47" i="1"/>
  <c r="D35" i="1"/>
  <c r="D23" i="1"/>
  <c r="D11" i="1"/>
  <c r="D7" i="1"/>
  <c r="F7" i="1" s="1"/>
  <c r="D195" i="1"/>
  <c r="D183" i="1"/>
  <c r="D171" i="1"/>
  <c r="E159" i="1"/>
  <c r="D147" i="1"/>
  <c r="D123" i="1"/>
  <c r="E111" i="1"/>
  <c r="D99" i="1"/>
  <c r="D87" i="1"/>
  <c r="D75" i="1"/>
  <c r="D63" i="1"/>
  <c r="D51" i="1"/>
  <c r="D39" i="1"/>
  <c r="D27" i="1"/>
  <c r="D15" i="1"/>
  <c r="D97" i="1"/>
  <c r="E30" i="1"/>
  <c r="E29" i="1"/>
  <c r="E18" i="1"/>
  <c r="E197" i="1"/>
  <c r="E114" i="1"/>
  <c r="E54" i="1"/>
  <c r="F198" i="1"/>
  <c r="E126" i="1"/>
  <c r="E198" i="1"/>
  <c r="E181" i="1"/>
  <c r="E174" i="1"/>
  <c r="E90" i="1"/>
  <c r="E205" i="1"/>
  <c r="E78" i="1"/>
  <c r="E72" i="1"/>
  <c r="E138" i="1"/>
  <c r="E66" i="1"/>
  <c r="E185" i="1"/>
  <c r="E39" i="1"/>
  <c r="D110" i="1"/>
  <c r="E110" i="1"/>
  <c r="D135" i="1"/>
  <c r="E133" i="1"/>
  <c r="E169" i="1"/>
  <c r="D157" i="1"/>
  <c r="E186" i="1"/>
  <c r="E162" i="1"/>
  <c r="E125" i="1"/>
  <c r="E77" i="1"/>
  <c r="E85" i="1"/>
  <c r="F205" i="1"/>
  <c r="F181" i="1"/>
  <c r="F133" i="1"/>
  <c r="F109" i="1"/>
  <c r="F85" i="1"/>
  <c r="E109" i="1"/>
  <c r="D145" i="1"/>
  <c r="D25" i="1"/>
  <c r="E102" i="1"/>
  <c r="F166" i="1"/>
  <c r="F154" i="1"/>
  <c r="F142" i="1"/>
  <c r="F130" i="1"/>
  <c r="F22" i="1"/>
  <c r="F10" i="1"/>
  <c r="E193" i="1"/>
  <c r="E150" i="1"/>
  <c r="E49" i="1"/>
  <c r="F177" i="1"/>
  <c r="F165" i="1"/>
  <c r="F153" i="1"/>
  <c r="F141" i="1"/>
  <c r="F129" i="1"/>
  <c r="F105" i="1"/>
  <c r="F69" i="1"/>
  <c r="F21" i="1"/>
  <c r="F9" i="1"/>
  <c r="E122" i="1"/>
  <c r="E48" i="1"/>
  <c r="F200" i="1"/>
  <c r="F188" i="1"/>
  <c r="F176" i="1"/>
  <c r="F164" i="1"/>
  <c r="F152" i="1"/>
  <c r="F128" i="1"/>
  <c r="F104" i="1"/>
  <c r="F92" i="1"/>
  <c r="F80" i="1"/>
  <c r="F56" i="1"/>
  <c r="F44" i="1"/>
  <c r="F32" i="1"/>
  <c r="F193" i="1"/>
  <c r="F169" i="1"/>
  <c r="F121" i="1"/>
  <c r="E121" i="1"/>
  <c r="E42" i="1"/>
  <c r="F199" i="1"/>
  <c r="F187" i="1"/>
  <c r="F175" i="1"/>
  <c r="F163" i="1"/>
  <c r="F151" i="1"/>
  <c r="F139" i="1"/>
  <c r="F127" i="1"/>
  <c r="F115" i="1"/>
  <c r="F103" i="1"/>
  <c r="F91" i="1"/>
  <c r="F79" i="1"/>
  <c r="F67" i="1"/>
  <c r="F55" i="1"/>
  <c r="F43" i="1"/>
  <c r="F31" i="1"/>
  <c r="F19" i="1"/>
  <c r="D161" i="1"/>
  <c r="D16" i="1"/>
  <c r="E16" i="1"/>
  <c r="D137" i="1"/>
  <c r="E137" i="1"/>
  <c r="D89" i="1"/>
  <c r="E89" i="1"/>
  <c r="E204" i="1"/>
  <c r="E167" i="1"/>
  <c r="E155" i="1"/>
  <c r="E11" i="1"/>
  <c r="E202" i="1"/>
  <c r="E190" i="1"/>
  <c r="E178" i="1"/>
  <c r="E166" i="1"/>
  <c r="E154" i="1"/>
  <c r="E142" i="1"/>
  <c r="E130" i="1"/>
  <c r="E118" i="1"/>
  <c r="E106" i="1"/>
  <c r="E94" i="1"/>
  <c r="E82" i="1"/>
  <c r="E70" i="1"/>
  <c r="E58" i="1"/>
  <c r="E46" i="1"/>
  <c r="E34" i="1"/>
  <c r="E22" i="1"/>
  <c r="E10" i="1"/>
  <c r="E201" i="1"/>
  <c r="E189" i="1"/>
  <c r="E177" i="1"/>
  <c r="E165" i="1"/>
  <c r="E153" i="1"/>
  <c r="E141" i="1"/>
  <c r="E129" i="1"/>
  <c r="E117" i="1"/>
  <c r="E105" i="1"/>
  <c r="E93" i="1"/>
  <c r="E81" i="1"/>
  <c r="E69" i="1"/>
  <c r="E57" i="1"/>
  <c r="E45" i="1"/>
  <c r="E33" i="1"/>
  <c r="E21" i="1"/>
  <c r="E9" i="1"/>
  <c r="E200" i="1"/>
  <c r="E188" i="1"/>
  <c r="E176" i="1"/>
  <c r="E164" i="1"/>
  <c r="E152" i="1"/>
  <c r="E140" i="1"/>
  <c r="E128" i="1"/>
  <c r="E116" i="1"/>
  <c r="E104" i="1"/>
  <c r="E92" i="1"/>
  <c r="E80" i="1"/>
  <c r="E68" i="1"/>
  <c r="E56" i="1"/>
  <c r="E44" i="1"/>
  <c r="E32" i="1"/>
  <c r="E20" i="1"/>
  <c r="E8" i="1"/>
  <c r="E199" i="1"/>
  <c r="E187" i="1"/>
  <c r="E175" i="1"/>
  <c r="E163" i="1"/>
  <c r="E151" i="1"/>
  <c r="E139" i="1"/>
  <c r="E127" i="1"/>
  <c r="E115" i="1"/>
  <c r="E103" i="1"/>
  <c r="E91" i="1"/>
  <c r="E79" i="1"/>
  <c r="E67" i="1"/>
  <c r="E55" i="1"/>
  <c r="E43" i="1"/>
  <c r="E31" i="1"/>
  <c r="E19" i="1"/>
  <c r="E7" i="1"/>
  <c r="B27" i="3" l="1"/>
  <c r="F25" i="1"/>
  <c r="F87" i="1"/>
  <c r="F35" i="1"/>
  <c r="F179" i="1"/>
  <c r="F146" i="1"/>
  <c r="F76" i="1"/>
  <c r="G76" i="1" s="1"/>
  <c r="F28" i="1"/>
  <c r="G28" i="1" s="1"/>
  <c r="F125" i="1"/>
  <c r="G125" i="1" s="1"/>
  <c r="F145" i="1"/>
  <c r="G145" i="1" s="1"/>
  <c r="F110" i="1"/>
  <c r="G110" i="1" s="1"/>
  <c r="F99" i="1"/>
  <c r="G99" i="1" s="1"/>
  <c r="F47" i="1"/>
  <c r="G47" i="1" s="1"/>
  <c r="F191" i="1"/>
  <c r="F108" i="1"/>
  <c r="F13" i="1"/>
  <c r="F64" i="1"/>
  <c r="F23" i="1"/>
  <c r="F173" i="1"/>
  <c r="I173" i="1" s="1"/>
  <c r="F59" i="1"/>
  <c r="I59" i="1" s="1"/>
  <c r="J59" i="1" s="1"/>
  <c r="F203" i="1"/>
  <c r="G203" i="1" s="1"/>
  <c r="F120" i="1"/>
  <c r="G120" i="1" s="1"/>
  <c r="F14" i="1"/>
  <c r="G14" i="1" s="1"/>
  <c r="F170" i="1"/>
  <c r="G170" i="1" s="1"/>
  <c r="F112" i="1"/>
  <c r="G112" i="1" s="1"/>
  <c r="F100" i="1"/>
  <c r="F84" i="1"/>
  <c r="F123" i="1"/>
  <c r="F71" i="1"/>
  <c r="F132" i="1"/>
  <c r="F26" i="1"/>
  <c r="G26" i="1" s="1"/>
  <c r="F182" i="1"/>
  <c r="F136" i="1"/>
  <c r="G136" i="1" s="1"/>
  <c r="F124" i="1"/>
  <c r="G124" i="1" s="1"/>
  <c r="F40" i="1"/>
  <c r="G40" i="1" s="1"/>
  <c r="F161" i="1"/>
  <c r="G161" i="1" s="1"/>
  <c r="F147" i="1"/>
  <c r="G147" i="1" s="1"/>
  <c r="F83" i="1"/>
  <c r="F50" i="1"/>
  <c r="F194" i="1"/>
  <c r="F63" i="1"/>
  <c r="F97" i="1"/>
  <c r="G97" i="1" s="1"/>
  <c r="F95" i="1"/>
  <c r="F12" i="1"/>
  <c r="G12" i="1" s="1"/>
  <c r="F156" i="1"/>
  <c r="G156" i="1" s="1"/>
  <c r="F62" i="1"/>
  <c r="G62" i="1" s="1"/>
  <c r="F206" i="1"/>
  <c r="I206" i="1" s="1"/>
  <c r="J206" i="1" s="1"/>
  <c r="F172" i="1"/>
  <c r="G172" i="1" s="1"/>
  <c r="F184" i="1"/>
  <c r="G184" i="1" s="1"/>
  <c r="F11" i="1"/>
  <c r="F157" i="1"/>
  <c r="F15" i="1"/>
  <c r="F171" i="1"/>
  <c r="F107" i="1"/>
  <c r="F24" i="1"/>
  <c r="I24" i="1" s="1"/>
  <c r="J24" i="1" s="1"/>
  <c r="F168" i="1"/>
  <c r="I168" i="1" s="1"/>
  <c r="J168" i="1" s="1"/>
  <c r="F74" i="1"/>
  <c r="G74" i="1" s="1"/>
  <c r="F101" i="1"/>
  <c r="G101" i="1" s="1"/>
  <c r="F196" i="1"/>
  <c r="G196" i="1" s="1"/>
  <c r="F72" i="1"/>
  <c r="G72" i="1" s="1"/>
  <c r="F27" i="1"/>
  <c r="I27" i="1" s="1"/>
  <c r="J27" i="1" s="1"/>
  <c r="F183" i="1"/>
  <c r="F119" i="1"/>
  <c r="F36" i="1"/>
  <c r="F180" i="1"/>
  <c r="F86" i="1"/>
  <c r="I86" i="1" s="1"/>
  <c r="F149" i="1"/>
  <c r="G149" i="1" s="1"/>
  <c r="F29" i="1"/>
  <c r="G29" i="1" s="1"/>
  <c r="F41" i="1"/>
  <c r="G41" i="1" s="1"/>
  <c r="F135" i="1"/>
  <c r="G135" i="1" s="1"/>
  <c r="F167" i="1"/>
  <c r="G167" i="1" s="1"/>
  <c r="F134" i="1"/>
  <c r="G134" i="1" s="1"/>
  <c r="F39" i="1"/>
  <c r="G39" i="1" s="1"/>
  <c r="F195" i="1"/>
  <c r="F131" i="1"/>
  <c r="F48" i="1"/>
  <c r="F98" i="1"/>
  <c r="G98" i="1" s="1"/>
  <c r="F185" i="1"/>
  <c r="G185" i="1" s="1"/>
  <c r="F53" i="1"/>
  <c r="G53" i="1" s="1"/>
  <c r="F65" i="1"/>
  <c r="G65" i="1" s="1"/>
  <c r="F122" i="1"/>
  <c r="G122" i="1" s="1"/>
  <c r="F137" i="1"/>
  <c r="G137" i="1" s="1"/>
  <c r="F75" i="1"/>
  <c r="G75" i="1" s="1"/>
  <c r="F16" i="1"/>
  <c r="G16" i="1" s="1"/>
  <c r="F89" i="1"/>
  <c r="I89" i="1" s="1"/>
  <c r="J89" i="1" s="1"/>
  <c r="F51" i="1"/>
  <c r="E65" i="1"/>
  <c r="E143" i="1"/>
  <c r="E60" i="1"/>
  <c r="E40" i="1"/>
  <c r="E195" i="1"/>
  <c r="E107" i="1"/>
  <c r="E62" i="1"/>
  <c r="E86" i="1"/>
  <c r="E27" i="1"/>
  <c r="E206" i="1"/>
  <c r="E101" i="1"/>
  <c r="D159" i="1"/>
  <c r="E12" i="1"/>
  <c r="E95" i="1"/>
  <c r="E74" i="1"/>
  <c r="E184" i="1"/>
  <c r="E14" i="1"/>
  <c r="E84" i="1"/>
  <c r="E24" i="1"/>
  <c r="E51" i="1"/>
  <c r="E147" i="1"/>
  <c r="E23" i="1"/>
  <c r="E15" i="1"/>
  <c r="E83" i="1"/>
  <c r="E156" i="1"/>
  <c r="E123" i="1"/>
  <c r="E168" i="1"/>
  <c r="D17" i="1"/>
  <c r="D144" i="1"/>
  <c r="E192" i="1"/>
  <c r="E171" i="1"/>
  <c r="E194" i="1"/>
  <c r="E183" i="1"/>
  <c r="E196" i="1"/>
  <c r="D61" i="1"/>
  <c r="E108" i="1"/>
  <c r="E112" i="1"/>
  <c r="D160" i="1"/>
  <c r="E172" i="1"/>
  <c r="E180" i="1"/>
  <c r="E136" i="1"/>
  <c r="E53" i="1"/>
  <c r="G50" i="1"/>
  <c r="I50" i="1"/>
  <c r="J50" i="1" s="1"/>
  <c r="G171" i="1"/>
  <c r="I171" i="1"/>
  <c r="J171" i="1" s="1"/>
  <c r="G13" i="1"/>
  <c r="I13" i="1"/>
  <c r="J13" i="1" s="1"/>
  <c r="G91" i="1"/>
  <c r="I91" i="1"/>
  <c r="G153" i="1"/>
  <c r="I153" i="1"/>
  <c r="G148" i="1"/>
  <c r="I148" i="1"/>
  <c r="J148" i="1" s="1"/>
  <c r="G103" i="1"/>
  <c r="I103" i="1"/>
  <c r="G165" i="1"/>
  <c r="I165" i="1"/>
  <c r="G115" i="1"/>
  <c r="I115" i="1"/>
  <c r="G177" i="1"/>
  <c r="I177" i="1"/>
  <c r="G11" i="1"/>
  <c r="I11" i="1"/>
  <c r="J11" i="1" s="1"/>
  <c r="G54" i="1"/>
  <c r="I54" i="1"/>
  <c r="G189" i="1"/>
  <c r="I189" i="1"/>
  <c r="G30" i="1"/>
  <c r="I30" i="1"/>
  <c r="G133" i="1"/>
  <c r="I133" i="1"/>
  <c r="G126" i="1"/>
  <c r="I126" i="1"/>
  <c r="G194" i="1"/>
  <c r="I194" i="1"/>
  <c r="J194" i="1" s="1"/>
  <c r="G151" i="1"/>
  <c r="I151" i="1"/>
  <c r="G150" i="1"/>
  <c r="I150" i="1"/>
  <c r="G205" i="1"/>
  <c r="I205" i="1"/>
  <c r="G31" i="1"/>
  <c r="I31" i="1"/>
  <c r="G93" i="1"/>
  <c r="I93" i="1"/>
  <c r="G66" i="1"/>
  <c r="I66" i="1"/>
  <c r="G204" i="1"/>
  <c r="I204" i="1"/>
  <c r="J204" i="1" s="1"/>
  <c r="G32" i="1"/>
  <c r="I32" i="1"/>
  <c r="G130" i="1"/>
  <c r="I130" i="1"/>
  <c r="G35" i="1"/>
  <c r="I35" i="1"/>
  <c r="J35" i="1" s="1"/>
  <c r="G188" i="1"/>
  <c r="I188" i="1"/>
  <c r="G102" i="1"/>
  <c r="I102" i="1"/>
  <c r="G108" i="1"/>
  <c r="I108" i="1"/>
  <c r="J108" i="1" s="1"/>
  <c r="G56" i="1"/>
  <c r="I56" i="1"/>
  <c r="G10" i="1"/>
  <c r="I10" i="1"/>
  <c r="G42" i="1"/>
  <c r="I42" i="1"/>
  <c r="G121" i="1"/>
  <c r="I121" i="1"/>
  <c r="G45" i="1"/>
  <c r="I45" i="1"/>
  <c r="G109" i="1"/>
  <c r="I109" i="1"/>
  <c r="G18" i="1"/>
  <c r="I18" i="1"/>
  <c r="G80" i="1"/>
  <c r="I80" i="1"/>
  <c r="G201" i="1"/>
  <c r="I201" i="1"/>
  <c r="G83" i="1"/>
  <c r="I83" i="1"/>
  <c r="J83" i="1" s="1"/>
  <c r="G52" i="1"/>
  <c r="I52" i="1"/>
  <c r="J52" i="1" s="1"/>
  <c r="G7" i="1"/>
  <c r="I7" i="1"/>
  <c r="J7" i="1" s="1"/>
  <c r="G69" i="1"/>
  <c r="I69" i="1"/>
  <c r="G181" i="1"/>
  <c r="I181" i="1"/>
  <c r="G163" i="1"/>
  <c r="I163" i="1"/>
  <c r="G81" i="1"/>
  <c r="I81" i="1"/>
  <c r="G202" i="1"/>
  <c r="I202" i="1"/>
  <c r="G24" i="1"/>
  <c r="G77" i="1"/>
  <c r="I77" i="1"/>
  <c r="J77" i="1" s="1"/>
  <c r="G187" i="1"/>
  <c r="I187" i="1"/>
  <c r="G105" i="1"/>
  <c r="I105" i="1"/>
  <c r="G82" i="1"/>
  <c r="I82" i="1"/>
  <c r="G48" i="1"/>
  <c r="I48" i="1"/>
  <c r="J48" i="1" s="1"/>
  <c r="G55" i="1"/>
  <c r="I55" i="1"/>
  <c r="G199" i="1"/>
  <c r="I199" i="1"/>
  <c r="G140" i="1"/>
  <c r="I140" i="1"/>
  <c r="G117" i="1"/>
  <c r="I117" i="1"/>
  <c r="G94" i="1"/>
  <c r="I94" i="1"/>
  <c r="G143" i="1"/>
  <c r="I143" i="1"/>
  <c r="J143" i="1" s="1"/>
  <c r="G114" i="1"/>
  <c r="I114" i="1"/>
  <c r="G197" i="1"/>
  <c r="I197" i="1"/>
  <c r="G78" i="1"/>
  <c r="I78" i="1"/>
  <c r="G36" i="1"/>
  <c r="I36" i="1"/>
  <c r="J36" i="1" s="1"/>
  <c r="G9" i="1"/>
  <c r="I9" i="1"/>
  <c r="G146" i="1"/>
  <c r="I146" i="1"/>
  <c r="J146" i="1" s="1"/>
  <c r="G44" i="1"/>
  <c r="I44" i="1"/>
  <c r="G142" i="1"/>
  <c r="I142" i="1"/>
  <c r="G49" i="1"/>
  <c r="I49" i="1"/>
  <c r="J49" i="1" s="1"/>
  <c r="G33" i="1"/>
  <c r="I33" i="1"/>
  <c r="G154" i="1"/>
  <c r="I154" i="1"/>
  <c r="G68" i="1"/>
  <c r="I68" i="1"/>
  <c r="G166" i="1"/>
  <c r="I166" i="1"/>
  <c r="G182" i="1"/>
  <c r="I182" i="1"/>
  <c r="J182" i="1" s="1"/>
  <c r="G123" i="1"/>
  <c r="I123" i="1"/>
  <c r="J123" i="1" s="1"/>
  <c r="G139" i="1"/>
  <c r="I139" i="1"/>
  <c r="G57" i="1"/>
  <c r="I57" i="1"/>
  <c r="G178" i="1"/>
  <c r="I178" i="1"/>
  <c r="G92" i="1"/>
  <c r="I92" i="1"/>
  <c r="G46" i="1"/>
  <c r="I46" i="1"/>
  <c r="G95" i="1"/>
  <c r="I95" i="1"/>
  <c r="J95" i="1" s="1"/>
  <c r="G174" i="1"/>
  <c r="I174" i="1"/>
  <c r="G162" i="1"/>
  <c r="I162" i="1"/>
  <c r="G19" i="1"/>
  <c r="I19" i="1"/>
  <c r="G104" i="1"/>
  <c r="I104" i="1"/>
  <c r="G116" i="1"/>
  <c r="I116" i="1"/>
  <c r="G70" i="1"/>
  <c r="I70" i="1"/>
  <c r="G119" i="1"/>
  <c r="I119" i="1"/>
  <c r="J119" i="1" s="1"/>
  <c r="G138" i="1"/>
  <c r="I138" i="1"/>
  <c r="G43" i="1"/>
  <c r="I43" i="1"/>
  <c r="G51" i="1"/>
  <c r="I51" i="1"/>
  <c r="J51" i="1" s="1"/>
  <c r="G192" i="1"/>
  <c r="I192" i="1"/>
  <c r="J192" i="1" s="1"/>
  <c r="G67" i="1"/>
  <c r="I67" i="1"/>
  <c r="G8" i="1"/>
  <c r="I8" i="1"/>
  <c r="G152" i="1"/>
  <c r="I152" i="1"/>
  <c r="G129" i="1"/>
  <c r="I129" i="1"/>
  <c r="G106" i="1"/>
  <c r="I106" i="1"/>
  <c r="G60" i="1"/>
  <c r="I60" i="1"/>
  <c r="J60" i="1" s="1"/>
  <c r="G155" i="1"/>
  <c r="I155" i="1"/>
  <c r="J155" i="1" s="1"/>
  <c r="G186" i="1"/>
  <c r="I186" i="1"/>
  <c r="G198" i="1"/>
  <c r="I198" i="1"/>
  <c r="G63" i="1"/>
  <c r="I63" i="1"/>
  <c r="J63" i="1" s="1"/>
  <c r="G176" i="1"/>
  <c r="I176" i="1"/>
  <c r="G87" i="1"/>
  <c r="I87" i="1"/>
  <c r="J87" i="1" s="1"/>
  <c r="G179" i="1"/>
  <c r="I179" i="1"/>
  <c r="J179" i="1" s="1"/>
  <c r="G15" i="1"/>
  <c r="I15" i="1"/>
  <c r="J15" i="1" s="1"/>
  <c r="G132" i="1"/>
  <c r="I132" i="1"/>
  <c r="J132" i="1" s="1"/>
  <c r="G21" i="1"/>
  <c r="I21" i="1"/>
  <c r="G191" i="1"/>
  <c r="I191" i="1"/>
  <c r="J191" i="1" s="1"/>
  <c r="G64" i="1"/>
  <c r="I64" i="1"/>
  <c r="N64" i="1" s="1"/>
  <c r="G200" i="1"/>
  <c r="I200" i="1"/>
  <c r="G85" i="1"/>
  <c r="I85" i="1"/>
  <c r="G183" i="1"/>
  <c r="I183" i="1"/>
  <c r="J183" i="1" s="1"/>
  <c r="G100" i="1"/>
  <c r="I100" i="1"/>
  <c r="J100" i="1" s="1"/>
  <c r="G127" i="1"/>
  <c r="I127" i="1"/>
  <c r="G22" i="1"/>
  <c r="I22" i="1"/>
  <c r="G71" i="1"/>
  <c r="I71" i="1"/>
  <c r="J71" i="1" s="1"/>
  <c r="G169" i="1"/>
  <c r="I169" i="1"/>
  <c r="G34" i="1"/>
  <c r="I34" i="1"/>
  <c r="G193" i="1"/>
  <c r="I193" i="1"/>
  <c r="G190" i="1"/>
  <c r="I190" i="1"/>
  <c r="G157" i="1"/>
  <c r="I157" i="1"/>
  <c r="J157" i="1" s="1"/>
  <c r="G58" i="1"/>
  <c r="I58" i="1"/>
  <c r="G107" i="1"/>
  <c r="I107" i="1"/>
  <c r="J107" i="1" s="1"/>
  <c r="G175" i="1"/>
  <c r="I175" i="1"/>
  <c r="G180" i="1"/>
  <c r="I180" i="1"/>
  <c r="J180" i="1" s="1"/>
  <c r="G128" i="1"/>
  <c r="I128" i="1"/>
  <c r="G25" i="1"/>
  <c r="I25" i="1"/>
  <c r="J25" i="1" s="1"/>
  <c r="G131" i="1"/>
  <c r="I131" i="1"/>
  <c r="J131" i="1" s="1"/>
  <c r="G195" i="1"/>
  <c r="I195" i="1"/>
  <c r="J195" i="1" s="1"/>
  <c r="G79" i="1"/>
  <c r="I79" i="1"/>
  <c r="G20" i="1"/>
  <c r="I20" i="1"/>
  <c r="G164" i="1"/>
  <c r="I164" i="1"/>
  <c r="G141" i="1"/>
  <c r="I141" i="1"/>
  <c r="G118" i="1"/>
  <c r="I118" i="1"/>
  <c r="G84" i="1"/>
  <c r="I84" i="1"/>
  <c r="J84" i="1" s="1"/>
  <c r="G90" i="1"/>
  <c r="I90" i="1"/>
  <c r="G23" i="1"/>
  <c r="I23" i="1"/>
  <c r="J23" i="1" s="1"/>
  <c r="E203" i="1"/>
  <c r="E28" i="1"/>
  <c r="E173" i="1"/>
  <c r="E71" i="1"/>
  <c r="D158" i="1"/>
  <c r="E170" i="1"/>
  <c r="E26" i="1"/>
  <c r="E146" i="1"/>
  <c r="E50" i="1"/>
  <c r="D37" i="1"/>
  <c r="E98" i="1"/>
  <c r="D96" i="1"/>
  <c r="E179" i="1"/>
  <c r="E13" i="1"/>
  <c r="E59" i="1"/>
  <c r="E134" i="1"/>
  <c r="E76" i="1"/>
  <c r="E41" i="1"/>
  <c r="E52" i="1"/>
  <c r="E120" i="1"/>
  <c r="E47" i="1"/>
  <c r="E35" i="1"/>
  <c r="E191" i="1"/>
  <c r="E100" i="1"/>
  <c r="E132" i="1"/>
  <c r="E119" i="1"/>
  <c r="D88" i="1"/>
  <c r="E148" i="1"/>
  <c r="E36" i="1"/>
  <c r="D73" i="1"/>
  <c r="E124" i="1"/>
  <c r="E131" i="1"/>
  <c r="E64" i="1"/>
  <c r="E182" i="1"/>
  <c r="E149" i="1"/>
  <c r="D111" i="1"/>
  <c r="E87" i="1"/>
  <c r="E99" i="1"/>
  <c r="E63" i="1"/>
  <c r="E75" i="1"/>
  <c r="D113" i="1"/>
  <c r="E113" i="1"/>
  <c r="E135" i="1"/>
  <c r="D38" i="1"/>
  <c r="E38" i="1"/>
  <c r="K87" i="1" l="1"/>
  <c r="L87" i="1" s="1"/>
  <c r="K148" i="1"/>
  <c r="L148" i="1" s="1"/>
  <c r="G59" i="1"/>
  <c r="I28" i="1"/>
  <c r="J28" i="1" s="1"/>
  <c r="I65" i="1"/>
  <c r="J65" i="1" s="1"/>
  <c r="I40" i="1"/>
  <c r="J40" i="1" s="1"/>
  <c r="I167" i="1"/>
  <c r="J167" i="1" s="1"/>
  <c r="I110" i="1"/>
  <c r="J110" i="1" s="1"/>
  <c r="K110" i="1" s="1"/>
  <c r="L110" i="1" s="1"/>
  <c r="I75" i="1"/>
  <c r="J75" i="1" s="1"/>
  <c r="I196" i="1"/>
  <c r="J196" i="1" s="1"/>
  <c r="K196" i="1" s="1"/>
  <c r="L196" i="1" s="1"/>
  <c r="I203" i="1"/>
  <c r="J203" i="1" s="1"/>
  <c r="K203" i="1" s="1"/>
  <c r="L203" i="1" s="1"/>
  <c r="I125" i="1"/>
  <c r="J125" i="1" s="1"/>
  <c r="K125" i="1" s="1"/>
  <c r="L125" i="1" s="1"/>
  <c r="I53" i="1"/>
  <c r="J53" i="1" s="1"/>
  <c r="K53" i="1" s="1"/>
  <c r="L53" i="1" s="1"/>
  <c r="I41" i="1"/>
  <c r="J41" i="1" s="1"/>
  <c r="K41" i="1" s="1"/>
  <c r="L41" i="1" s="1"/>
  <c r="I122" i="1"/>
  <c r="J122" i="1" s="1"/>
  <c r="K122" i="1" s="1"/>
  <c r="K23" i="1"/>
  <c r="L23" i="1" s="1"/>
  <c r="G206" i="1"/>
  <c r="K206" i="1" s="1"/>
  <c r="L206" i="1" s="1"/>
  <c r="K132" i="1"/>
  <c r="L132" i="1" s="1"/>
  <c r="K51" i="1"/>
  <c r="L51" i="1" s="1"/>
  <c r="K77" i="1"/>
  <c r="L77" i="1" s="1"/>
  <c r="I29" i="1"/>
  <c r="J29" i="1" s="1"/>
  <c r="K29" i="1" s="1"/>
  <c r="L29" i="1" s="1"/>
  <c r="K195" i="1"/>
  <c r="L195" i="1" s="1"/>
  <c r="I12" i="1"/>
  <c r="J12" i="1" s="1"/>
  <c r="K12" i="1" s="1"/>
  <c r="L12" i="1" s="1"/>
  <c r="K183" i="1"/>
  <c r="L183" i="1" s="1"/>
  <c r="I16" i="1"/>
  <c r="J16" i="1" s="1"/>
  <c r="K16" i="1" s="1"/>
  <c r="L16" i="1" s="1"/>
  <c r="I170" i="1"/>
  <c r="J170" i="1" s="1"/>
  <c r="K170" i="1" s="1"/>
  <c r="L170" i="1" s="1"/>
  <c r="I172" i="1"/>
  <c r="J172" i="1" s="1"/>
  <c r="K172" i="1" s="1"/>
  <c r="L172" i="1" s="1"/>
  <c r="I137" i="1"/>
  <c r="J137" i="1" s="1"/>
  <c r="K137" i="1" s="1"/>
  <c r="L137" i="1" s="1"/>
  <c r="I145" i="1"/>
  <c r="J145" i="1" s="1"/>
  <c r="K145" i="1" s="1"/>
  <c r="L145" i="1" s="1"/>
  <c r="G89" i="1"/>
  <c r="K89" i="1" s="1"/>
  <c r="I135" i="1"/>
  <c r="J135" i="1" s="1"/>
  <c r="K135" i="1" s="1"/>
  <c r="L135" i="1" s="1"/>
  <c r="I39" i="1"/>
  <c r="J39" i="1" s="1"/>
  <c r="K39" i="1" s="1"/>
  <c r="L39" i="1" s="1"/>
  <c r="I184" i="1"/>
  <c r="J184" i="1" s="1"/>
  <c r="K184" i="1" s="1"/>
  <c r="L184" i="1" s="1"/>
  <c r="I161" i="1"/>
  <c r="J161" i="1" s="1"/>
  <c r="K161" i="1" s="1"/>
  <c r="L161" i="1" s="1"/>
  <c r="I72" i="1"/>
  <c r="J72" i="1" s="1"/>
  <c r="K72" i="1" s="1"/>
  <c r="L72" i="1" s="1"/>
  <c r="G27" i="1"/>
  <c r="K27" i="1" s="1"/>
  <c r="L27" i="1" s="1"/>
  <c r="G168" i="1"/>
  <c r="K168" i="1" s="1"/>
  <c r="I185" i="1"/>
  <c r="J185" i="1" s="1"/>
  <c r="K185" i="1" s="1"/>
  <c r="L185" i="1" s="1"/>
  <c r="I136" i="1"/>
  <c r="N136" i="1" s="1"/>
  <c r="N204" i="1"/>
  <c r="N180" i="1"/>
  <c r="N77" i="1"/>
  <c r="I62" i="1"/>
  <c r="J62" i="1" s="1"/>
  <c r="K62" i="1" s="1"/>
  <c r="N132" i="1"/>
  <c r="N23" i="1"/>
  <c r="I156" i="1"/>
  <c r="J156" i="1" s="1"/>
  <c r="K156" i="1" s="1"/>
  <c r="L156" i="1" s="1"/>
  <c r="I14" i="1"/>
  <c r="J14" i="1" s="1"/>
  <c r="K14" i="1" s="1"/>
  <c r="L14" i="1" s="1"/>
  <c r="I74" i="1"/>
  <c r="J74" i="1" s="1"/>
  <c r="K74" i="1" s="1"/>
  <c r="L74" i="1" s="1"/>
  <c r="I120" i="1"/>
  <c r="J120" i="1" s="1"/>
  <c r="K120" i="1" s="1"/>
  <c r="L120" i="1" s="1"/>
  <c r="I101" i="1"/>
  <c r="J101" i="1" s="1"/>
  <c r="K101" i="1" s="1"/>
  <c r="M101" i="1" s="1"/>
  <c r="K48" i="1"/>
  <c r="L48" i="1" s="1"/>
  <c r="I149" i="1"/>
  <c r="J149" i="1" s="1"/>
  <c r="K149" i="1" s="1"/>
  <c r="L149" i="1" s="1"/>
  <c r="N52" i="1"/>
  <c r="I99" i="1"/>
  <c r="I124" i="1"/>
  <c r="J124" i="1" s="1"/>
  <c r="K124" i="1" s="1"/>
  <c r="L124" i="1" s="1"/>
  <c r="J173" i="1"/>
  <c r="N173" i="1"/>
  <c r="J86" i="1"/>
  <c r="N86" i="1"/>
  <c r="J20" i="1"/>
  <c r="K20" i="1" s="1"/>
  <c r="L20" i="1" s="1"/>
  <c r="N20" i="1"/>
  <c r="J127" i="1"/>
  <c r="K127" i="1" s="1"/>
  <c r="L127" i="1" s="1"/>
  <c r="N127" i="1"/>
  <c r="J129" i="1"/>
  <c r="K129" i="1" s="1"/>
  <c r="L129" i="1" s="1"/>
  <c r="N129" i="1"/>
  <c r="J57" i="1"/>
  <c r="K57" i="1" s="1"/>
  <c r="L57" i="1" s="1"/>
  <c r="N57" i="1"/>
  <c r="J114" i="1"/>
  <c r="K114" i="1" s="1"/>
  <c r="L114" i="1" s="1"/>
  <c r="N114" i="1"/>
  <c r="J121" i="1"/>
  <c r="K121" i="1" s="1"/>
  <c r="M121" i="1" s="1"/>
  <c r="N121" i="1"/>
  <c r="J151" i="1"/>
  <c r="K151" i="1" s="1"/>
  <c r="L151" i="1" s="1"/>
  <c r="N151" i="1"/>
  <c r="J90" i="1"/>
  <c r="K90" i="1" s="1"/>
  <c r="L90" i="1" s="1"/>
  <c r="N90" i="1"/>
  <c r="J79" i="1"/>
  <c r="K79" i="1" s="1"/>
  <c r="L79" i="1" s="1"/>
  <c r="N79" i="1"/>
  <c r="J128" i="1"/>
  <c r="K128" i="1" s="1"/>
  <c r="L128" i="1" s="1"/>
  <c r="N128" i="1"/>
  <c r="J58" i="1"/>
  <c r="K58" i="1" s="1"/>
  <c r="L58" i="1" s="1"/>
  <c r="N58" i="1"/>
  <c r="J34" i="1"/>
  <c r="K34" i="1" s="1"/>
  <c r="L34" i="1" s="1"/>
  <c r="N34" i="1"/>
  <c r="J186" i="1"/>
  <c r="K186" i="1" s="1"/>
  <c r="L186" i="1" s="1"/>
  <c r="N186" i="1"/>
  <c r="J152" i="1"/>
  <c r="K152" i="1" s="1"/>
  <c r="L152" i="1" s="1"/>
  <c r="N152" i="1"/>
  <c r="J116" i="1"/>
  <c r="K116" i="1" s="1"/>
  <c r="N116" i="1"/>
  <c r="J139" i="1"/>
  <c r="K139" i="1" s="1"/>
  <c r="N139" i="1"/>
  <c r="J154" i="1"/>
  <c r="K154" i="1" s="1"/>
  <c r="L154" i="1" s="1"/>
  <c r="N154" i="1"/>
  <c r="J55" i="1"/>
  <c r="K55" i="1" s="1"/>
  <c r="L55" i="1" s="1"/>
  <c r="N55" i="1"/>
  <c r="J105" i="1"/>
  <c r="K105" i="1" s="1"/>
  <c r="L105" i="1" s="1"/>
  <c r="N105" i="1"/>
  <c r="J202" i="1"/>
  <c r="K202" i="1" s="1"/>
  <c r="L202" i="1" s="1"/>
  <c r="N202" i="1"/>
  <c r="I147" i="1"/>
  <c r="I112" i="1"/>
  <c r="J31" i="1"/>
  <c r="K31" i="1" s="1"/>
  <c r="L31" i="1" s="1"/>
  <c r="N31" i="1"/>
  <c r="J54" i="1"/>
  <c r="K54" i="1" s="1"/>
  <c r="N54" i="1"/>
  <c r="J103" i="1"/>
  <c r="K103" i="1" s="1"/>
  <c r="N103" i="1"/>
  <c r="N60" i="1"/>
  <c r="N192" i="1"/>
  <c r="N171" i="1"/>
  <c r="N206" i="1"/>
  <c r="N63" i="1"/>
  <c r="N146" i="1"/>
  <c r="J82" i="1"/>
  <c r="K82" i="1" s="1"/>
  <c r="L82" i="1" s="1"/>
  <c r="N82" i="1"/>
  <c r="F159" i="1"/>
  <c r="G159" i="1" s="1"/>
  <c r="N143" i="1"/>
  <c r="N48" i="1"/>
  <c r="N36" i="1"/>
  <c r="N40" i="1"/>
  <c r="N71" i="1"/>
  <c r="J198" i="1"/>
  <c r="K198" i="1" s="1"/>
  <c r="M198" i="1" s="1"/>
  <c r="N198" i="1"/>
  <c r="F88" i="1"/>
  <c r="G88" i="1" s="1"/>
  <c r="J46" i="1"/>
  <c r="K46" i="1" s="1"/>
  <c r="L46" i="1" s="1"/>
  <c r="N46" i="1"/>
  <c r="J33" i="1"/>
  <c r="K33" i="1" s="1"/>
  <c r="L33" i="1" s="1"/>
  <c r="N33" i="1"/>
  <c r="J9" i="1"/>
  <c r="K9" i="1" s="1"/>
  <c r="L9" i="1" s="1"/>
  <c r="N9" i="1"/>
  <c r="J187" i="1"/>
  <c r="K187" i="1" s="1"/>
  <c r="L187" i="1" s="1"/>
  <c r="N187" i="1"/>
  <c r="J81" i="1"/>
  <c r="K81" i="1" s="1"/>
  <c r="L81" i="1" s="1"/>
  <c r="N81" i="1"/>
  <c r="J18" i="1"/>
  <c r="K18" i="1" s="1"/>
  <c r="L18" i="1" s="1"/>
  <c r="N18" i="1"/>
  <c r="J102" i="1"/>
  <c r="K102" i="1" s="1"/>
  <c r="L102" i="1" s="1"/>
  <c r="N102" i="1"/>
  <c r="J130" i="1"/>
  <c r="K130" i="1" s="1"/>
  <c r="L130" i="1" s="1"/>
  <c r="N130" i="1"/>
  <c r="J205" i="1"/>
  <c r="K205" i="1" s="1"/>
  <c r="L205" i="1" s="1"/>
  <c r="N205" i="1"/>
  <c r="J126" i="1"/>
  <c r="K126" i="1" s="1"/>
  <c r="L126" i="1" s="1"/>
  <c r="N126" i="1"/>
  <c r="I76" i="1"/>
  <c r="N7" i="1"/>
  <c r="N15" i="1"/>
  <c r="N148" i="1"/>
  <c r="N179" i="1"/>
  <c r="F61" i="1"/>
  <c r="I61" i="1" s="1"/>
  <c r="J61" i="1" s="1"/>
  <c r="J8" i="1"/>
  <c r="K8" i="1" s="1"/>
  <c r="L8" i="1" s="1"/>
  <c r="N8" i="1"/>
  <c r="G173" i="1"/>
  <c r="G86" i="1"/>
  <c r="N51" i="1"/>
  <c r="N155" i="1"/>
  <c r="N131" i="1"/>
  <c r="N119" i="1"/>
  <c r="N194" i="1"/>
  <c r="N123" i="1"/>
  <c r="N13" i="1"/>
  <c r="J174" i="1"/>
  <c r="K174" i="1" s="1"/>
  <c r="L174" i="1" s="1"/>
  <c r="N174" i="1"/>
  <c r="F111" i="1"/>
  <c r="G111" i="1" s="1"/>
  <c r="J43" i="1"/>
  <c r="K43" i="1" s="1"/>
  <c r="L43" i="1" s="1"/>
  <c r="N43" i="1"/>
  <c r="J104" i="1"/>
  <c r="K104" i="1" s="1"/>
  <c r="L104" i="1" s="1"/>
  <c r="N104" i="1"/>
  <c r="J92" i="1"/>
  <c r="K92" i="1" s="1"/>
  <c r="L92" i="1" s="1"/>
  <c r="N92" i="1"/>
  <c r="J94" i="1"/>
  <c r="K94" i="1" s="1"/>
  <c r="L94" i="1" s="1"/>
  <c r="N94" i="1"/>
  <c r="J163" i="1"/>
  <c r="K163" i="1" s="1"/>
  <c r="M163" i="1" s="1"/>
  <c r="N163" i="1"/>
  <c r="J42" i="1"/>
  <c r="K42" i="1" s="1"/>
  <c r="L42" i="1" s="1"/>
  <c r="N42" i="1"/>
  <c r="I26" i="1"/>
  <c r="J32" i="1"/>
  <c r="K32" i="1" s="1"/>
  <c r="L32" i="1" s="1"/>
  <c r="N32" i="1"/>
  <c r="I98" i="1"/>
  <c r="J133" i="1"/>
  <c r="K133" i="1" s="1"/>
  <c r="M133" i="1" s="1"/>
  <c r="N133" i="1"/>
  <c r="J177" i="1"/>
  <c r="K177" i="1" s="1"/>
  <c r="L177" i="1" s="1"/>
  <c r="N177" i="1"/>
  <c r="N65" i="1"/>
  <c r="N157" i="1"/>
  <c r="N35" i="1"/>
  <c r="K75" i="1"/>
  <c r="L75" i="1" s="1"/>
  <c r="J70" i="1"/>
  <c r="K70" i="1" s="1"/>
  <c r="L70" i="1" s="1"/>
  <c r="N70" i="1"/>
  <c r="N107" i="1"/>
  <c r="J169" i="1"/>
  <c r="K169" i="1" s="1"/>
  <c r="L169" i="1" s="1"/>
  <c r="N169" i="1"/>
  <c r="I134" i="1"/>
  <c r="J67" i="1"/>
  <c r="K67" i="1" s="1"/>
  <c r="M67" i="1" s="1"/>
  <c r="N67" i="1"/>
  <c r="F144" i="1"/>
  <c r="G144" i="1" s="1"/>
  <c r="N89" i="1"/>
  <c r="N195" i="1"/>
  <c r="N183" i="1"/>
  <c r="N50" i="1"/>
  <c r="N108" i="1"/>
  <c r="N84" i="1"/>
  <c r="J93" i="1"/>
  <c r="K93" i="1" s="1"/>
  <c r="L93" i="1" s="1"/>
  <c r="N93" i="1"/>
  <c r="F96" i="1"/>
  <c r="I96" i="1" s="1"/>
  <c r="N96" i="1" s="1"/>
  <c r="J21" i="1"/>
  <c r="K21" i="1" s="1"/>
  <c r="L21" i="1" s="1"/>
  <c r="N21" i="1"/>
  <c r="J118" i="1"/>
  <c r="K118" i="1" s="1"/>
  <c r="L118" i="1" s="1"/>
  <c r="N118" i="1"/>
  <c r="J85" i="1"/>
  <c r="K85" i="1" s="1"/>
  <c r="L85" i="1" s="1"/>
  <c r="N85" i="1"/>
  <c r="F38" i="1"/>
  <c r="G38" i="1" s="1"/>
  <c r="J141" i="1"/>
  <c r="K141" i="1" s="1"/>
  <c r="L141" i="1" s="1"/>
  <c r="N141" i="1"/>
  <c r="J190" i="1"/>
  <c r="K190" i="1" s="1"/>
  <c r="L190" i="1" s="1"/>
  <c r="N190" i="1"/>
  <c r="J200" i="1"/>
  <c r="K200" i="1" s="1"/>
  <c r="L200" i="1" s="1"/>
  <c r="N200" i="1"/>
  <c r="K60" i="1"/>
  <c r="L60" i="1" s="1"/>
  <c r="J138" i="1"/>
  <c r="K138" i="1" s="1"/>
  <c r="L138" i="1" s="1"/>
  <c r="N138" i="1"/>
  <c r="J19" i="1"/>
  <c r="K19" i="1" s="1"/>
  <c r="L19" i="1" s="1"/>
  <c r="N19" i="1"/>
  <c r="I97" i="1"/>
  <c r="J166" i="1"/>
  <c r="K166" i="1" s="1"/>
  <c r="L166" i="1" s="1"/>
  <c r="N166" i="1"/>
  <c r="J78" i="1"/>
  <c r="K78" i="1" s="1"/>
  <c r="L78" i="1" s="1"/>
  <c r="N78" i="1"/>
  <c r="J117" i="1"/>
  <c r="K117" i="1" s="1"/>
  <c r="L117" i="1" s="1"/>
  <c r="N117" i="1"/>
  <c r="J181" i="1"/>
  <c r="K181" i="1" s="1"/>
  <c r="L181" i="1" s="1"/>
  <c r="N181" i="1"/>
  <c r="J201" i="1"/>
  <c r="K201" i="1" s="1"/>
  <c r="L201" i="1" s="1"/>
  <c r="N201" i="1"/>
  <c r="J109" i="1"/>
  <c r="K109" i="1" s="1"/>
  <c r="L109" i="1" s="1"/>
  <c r="N109" i="1"/>
  <c r="K204" i="1"/>
  <c r="L204" i="1" s="1"/>
  <c r="J150" i="1"/>
  <c r="K150" i="1" s="1"/>
  <c r="L150" i="1" s="1"/>
  <c r="N150" i="1"/>
  <c r="J30" i="1"/>
  <c r="K30" i="1" s="1"/>
  <c r="L30" i="1" s="1"/>
  <c r="N30" i="1"/>
  <c r="J115" i="1"/>
  <c r="K115" i="1" s="1"/>
  <c r="L115" i="1" s="1"/>
  <c r="N115" i="1"/>
  <c r="J153" i="1"/>
  <c r="K153" i="1" s="1"/>
  <c r="L153" i="1" s="1"/>
  <c r="N153" i="1"/>
  <c r="K13" i="1"/>
  <c r="L13" i="1" s="1"/>
  <c r="F17" i="1"/>
  <c r="G17" i="1" s="1"/>
  <c r="N168" i="1"/>
  <c r="N11" i="1"/>
  <c r="N49" i="1"/>
  <c r="N87" i="1"/>
  <c r="J199" i="1"/>
  <c r="K199" i="1" s="1"/>
  <c r="L199" i="1" s="1"/>
  <c r="N199" i="1"/>
  <c r="J165" i="1"/>
  <c r="K165" i="1" s="1"/>
  <c r="L165" i="1" s="1"/>
  <c r="N165" i="1"/>
  <c r="J176" i="1"/>
  <c r="K176" i="1" s="1"/>
  <c r="L176" i="1" s="1"/>
  <c r="N176" i="1"/>
  <c r="F37" i="1"/>
  <c r="I37" i="1" s="1"/>
  <c r="N37" i="1" s="1"/>
  <c r="N27" i="1"/>
  <c r="N83" i="1"/>
  <c r="N182" i="1"/>
  <c r="N100" i="1"/>
  <c r="N59" i="1"/>
  <c r="N191" i="1"/>
  <c r="J44" i="1"/>
  <c r="K44" i="1" s="1"/>
  <c r="L44" i="1" s="1"/>
  <c r="N44" i="1"/>
  <c r="J164" i="1"/>
  <c r="K164" i="1" s="1"/>
  <c r="N164" i="1"/>
  <c r="J175" i="1"/>
  <c r="K175" i="1" s="1"/>
  <c r="L175" i="1" s="1"/>
  <c r="N175" i="1"/>
  <c r="J22" i="1"/>
  <c r="K22" i="1" s="1"/>
  <c r="N22" i="1"/>
  <c r="J162" i="1"/>
  <c r="K162" i="1" s="1"/>
  <c r="L162" i="1" s="1"/>
  <c r="N162" i="1"/>
  <c r="J178" i="1"/>
  <c r="K178" i="1" s="1"/>
  <c r="L178" i="1" s="1"/>
  <c r="N178" i="1"/>
  <c r="J68" i="1"/>
  <c r="K68" i="1" s="1"/>
  <c r="L68" i="1" s="1"/>
  <c r="N68" i="1"/>
  <c r="J142" i="1"/>
  <c r="K142" i="1" s="1"/>
  <c r="L142" i="1" s="1"/>
  <c r="N142" i="1"/>
  <c r="J140" i="1"/>
  <c r="K140" i="1" s="1"/>
  <c r="L140" i="1" s="1"/>
  <c r="N140" i="1"/>
  <c r="J69" i="1"/>
  <c r="K69" i="1" s="1"/>
  <c r="L69" i="1" s="1"/>
  <c r="N69" i="1"/>
  <c r="J80" i="1"/>
  <c r="K80" i="1" s="1"/>
  <c r="L80" i="1" s="1"/>
  <c r="N80" i="1"/>
  <c r="J45" i="1"/>
  <c r="K45" i="1" s="1"/>
  <c r="L45" i="1" s="1"/>
  <c r="N45" i="1"/>
  <c r="J10" i="1"/>
  <c r="K10" i="1" s="1"/>
  <c r="L10" i="1" s="1"/>
  <c r="N10" i="1"/>
  <c r="J188" i="1"/>
  <c r="K188" i="1" s="1"/>
  <c r="L188" i="1" s="1"/>
  <c r="N188" i="1"/>
  <c r="J66" i="1"/>
  <c r="K66" i="1" s="1"/>
  <c r="L66" i="1" s="1"/>
  <c r="N66" i="1"/>
  <c r="J189" i="1"/>
  <c r="K189" i="1" s="1"/>
  <c r="L189" i="1" s="1"/>
  <c r="N189" i="1"/>
  <c r="I47" i="1"/>
  <c r="J91" i="1"/>
  <c r="K91" i="1" s="1"/>
  <c r="L91" i="1" s="1"/>
  <c r="N91" i="1"/>
  <c r="F160" i="1"/>
  <c r="I160" i="1" s="1"/>
  <c r="J160" i="1" s="1"/>
  <c r="N24" i="1"/>
  <c r="N95" i="1"/>
  <c r="N28" i="1"/>
  <c r="N25" i="1"/>
  <c r="J56" i="1"/>
  <c r="K56" i="1" s="1"/>
  <c r="L56" i="1" s="1"/>
  <c r="N56" i="1"/>
  <c r="F73" i="1"/>
  <c r="G73" i="1" s="1"/>
  <c r="J193" i="1"/>
  <c r="K193" i="1" s="1"/>
  <c r="L193" i="1" s="1"/>
  <c r="N193" i="1"/>
  <c r="J106" i="1"/>
  <c r="K106" i="1" s="1"/>
  <c r="L106" i="1" s="1"/>
  <c r="N106" i="1"/>
  <c r="J197" i="1"/>
  <c r="K197" i="1" s="1"/>
  <c r="M197" i="1" s="1"/>
  <c r="N197" i="1"/>
  <c r="F113" i="1"/>
  <c r="I113" i="1" s="1"/>
  <c r="J113" i="1" s="1"/>
  <c r="F158" i="1"/>
  <c r="G158" i="1" s="1"/>
  <c r="N75" i="1"/>
  <c r="K25" i="1"/>
  <c r="L25" i="1" s="1"/>
  <c r="K131" i="1"/>
  <c r="L131" i="1" s="1"/>
  <c r="K65" i="1"/>
  <c r="L65" i="1" s="1"/>
  <c r="K179" i="1"/>
  <c r="L179" i="1" s="1"/>
  <c r="K63" i="1"/>
  <c r="L63" i="1" s="1"/>
  <c r="K119" i="1"/>
  <c r="L119" i="1" s="1"/>
  <c r="K192" i="1"/>
  <c r="L192" i="1" s="1"/>
  <c r="K95" i="1"/>
  <c r="L95" i="1" s="1"/>
  <c r="K146" i="1"/>
  <c r="L146" i="1" s="1"/>
  <c r="K143" i="1"/>
  <c r="L143" i="1" s="1"/>
  <c r="K194" i="1"/>
  <c r="L194" i="1" s="1"/>
  <c r="K84" i="1"/>
  <c r="L84" i="1" s="1"/>
  <c r="K100" i="1"/>
  <c r="L100" i="1" s="1"/>
  <c r="K191" i="1"/>
  <c r="L191" i="1" s="1"/>
  <c r="K24" i="1"/>
  <c r="L24" i="1" s="1"/>
  <c r="K7" i="1"/>
  <c r="L7" i="1" s="1"/>
  <c r="K28" i="1"/>
  <c r="L28" i="1" s="1"/>
  <c r="K59" i="1"/>
  <c r="L59" i="1" s="1"/>
  <c r="K167" i="1"/>
  <c r="L167" i="1" s="1"/>
  <c r="K180" i="1"/>
  <c r="L180" i="1" s="1"/>
  <c r="K157" i="1"/>
  <c r="L157" i="1" s="1"/>
  <c r="K71" i="1"/>
  <c r="L71" i="1" s="1"/>
  <c r="K49" i="1"/>
  <c r="L49" i="1" s="1"/>
  <c r="K36" i="1"/>
  <c r="L36" i="1" s="1"/>
  <c r="K83" i="1"/>
  <c r="L83" i="1" s="1"/>
  <c r="K11" i="1"/>
  <c r="L11" i="1" s="1"/>
  <c r="K50" i="1"/>
  <c r="L50" i="1" s="1"/>
  <c r="K182" i="1"/>
  <c r="L182" i="1" s="1"/>
  <c r="K107" i="1"/>
  <c r="L107" i="1" s="1"/>
  <c r="K15" i="1"/>
  <c r="L15" i="1" s="1"/>
  <c r="K40" i="1"/>
  <c r="K155" i="1"/>
  <c r="L155" i="1" s="1"/>
  <c r="K123" i="1"/>
  <c r="M123" i="1" s="1"/>
  <c r="K52" i="1"/>
  <c r="L52" i="1" s="1"/>
  <c r="K35" i="1"/>
  <c r="L35" i="1" s="1"/>
  <c r="K171" i="1"/>
  <c r="L171" i="1" s="1"/>
  <c r="K108" i="1"/>
  <c r="L108" i="1" s="1"/>
  <c r="J64" i="1"/>
  <c r="K64" i="1" s="1"/>
  <c r="L64" i="1" s="1"/>
  <c r="M148" i="1"/>
  <c r="M110" i="1"/>
  <c r="M51" i="1"/>
  <c r="M87" i="1"/>
  <c r="N203" i="1" l="1"/>
  <c r="M60" i="1"/>
  <c r="M115" i="1"/>
  <c r="N110" i="1"/>
  <c r="N196" i="1"/>
  <c r="N167" i="1"/>
  <c r="M118" i="1"/>
  <c r="N53" i="1"/>
  <c r="M70" i="1"/>
  <c r="N125" i="1"/>
  <c r="L101" i="1"/>
  <c r="M23" i="1"/>
  <c r="M127" i="1"/>
  <c r="N101" i="1"/>
  <c r="L122" i="1"/>
  <c r="M122" i="1"/>
  <c r="N122" i="1"/>
  <c r="M145" i="1"/>
  <c r="M205" i="1"/>
  <c r="M75" i="1"/>
  <c r="M48" i="1"/>
  <c r="N41" i="1"/>
  <c r="N172" i="1"/>
  <c r="N29" i="1"/>
  <c r="M132" i="1"/>
  <c r="M43" i="1"/>
  <c r="I111" i="1"/>
  <c r="N111" i="1" s="1"/>
  <c r="N135" i="1"/>
  <c r="M195" i="1"/>
  <c r="L198" i="1"/>
  <c r="N124" i="1"/>
  <c r="N161" i="1"/>
  <c r="M124" i="1"/>
  <c r="M104" i="1"/>
  <c r="I158" i="1"/>
  <c r="N158" i="1" s="1"/>
  <c r="M140" i="1"/>
  <c r="M81" i="1"/>
  <c r="M77" i="1"/>
  <c r="M63" i="1"/>
  <c r="M183" i="1"/>
  <c r="M66" i="1"/>
  <c r="M189" i="1"/>
  <c r="M46" i="1"/>
  <c r="M30" i="1"/>
  <c r="M204" i="1"/>
  <c r="M25" i="1"/>
  <c r="M135" i="1"/>
  <c r="M69" i="1"/>
  <c r="K86" i="1"/>
  <c r="L86" i="1" s="1"/>
  <c r="M117" i="1"/>
  <c r="M146" i="1"/>
  <c r="M80" i="1"/>
  <c r="M94" i="1"/>
  <c r="M177" i="1"/>
  <c r="M103" i="1"/>
  <c r="L103" i="1"/>
  <c r="N185" i="1"/>
  <c r="L197" i="1"/>
  <c r="M120" i="1"/>
  <c r="N72" i="1"/>
  <c r="M16" i="1"/>
  <c r="N156" i="1"/>
  <c r="K173" i="1"/>
  <c r="L173" i="1" s="1"/>
  <c r="N12" i="1"/>
  <c r="M19" i="1"/>
  <c r="G113" i="1"/>
  <c r="K113" i="1" s="1"/>
  <c r="L113" i="1" s="1"/>
  <c r="N16" i="1"/>
  <c r="N120" i="1"/>
  <c r="L168" i="1"/>
  <c r="M168" i="1"/>
  <c r="M130" i="1"/>
  <c r="M203" i="1"/>
  <c r="I38" i="1"/>
  <c r="J38" i="1" s="1"/>
  <c r="K38" i="1" s="1"/>
  <c r="L38" i="1" s="1"/>
  <c r="G160" i="1"/>
  <c r="K160" i="1" s="1"/>
  <c r="L160" i="1" s="1"/>
  <c r="M181" i="1"/>
  <c r="L133" i="1"/>
  <c r="N137" i="1"/>
  <c r="M185" i="1"/>
  <c r="N170" i="1"/>
  <c r="M33" i="1"/>
  <c r="J136" i="1"/>
  <c r="K136" i="1" s="1"/>
  <c r="L136" i="1" s="1"/>
  <c r="I88" i="1"/>
  <c r="J88" i="1" s="1"/>
  <c r="K88" i="1" s="1"/>
  <c r="L88" i="1" s="1"/>
  <c r="M194" i="1"/>
  <c r="G61" i="1"/>
  <c r="K61" i="1" s="1"/>
  <c r="L61" i="1" s="1"/>
  <c r="M201" i="1"/>
  <c r="N145" i="1"/>
  <c r="M32" i="1"/>
  <c r="M179" i="1"/>
  <c r="L116" i="1"/>
  <c r="M116" i="1"/>
  <c r="L62" i="1"/>
  <c r="M62" i="1"/>
  <c r="L89" i="1"/>
  <c r="M89" i="1"/>
  <c r="N61" i="1"/>
  <c r="M45" i="1"/>
  <c r="N149" i="1"/>
  <c r="M109" i="1"/>
  <c r="M190" i="1"/>
  <c r="N39" i="1"/>
  <c r="N62" i="1"/>
  <c r="M131" i="1"/>
  <c r="N184" i="1"/>
  <c r="M149" i="1"/>
  <c r="M187" i="1"/>
  <c r="M184" i="1"/>
  <c r="L54" i="1"/>
  <c r="M54" i="1"/>
  <c r="M72" i="1"/>
  <c r="M78" i="1"/>
  <c r="I73" i="1"/>
  <c r="J73" i="1" s="1"/>
  <c r="K73" i="1" s="1"/>
  <c r="L73" i="1" s="1"/>
  <c r="I159" i="1"/>
  <c r="J159" i="1" s="1"/>
  <c r="K159" i="1" s="1"/>
  <c r="M21" i="1"/>
  <c r="M153" i="1"/>
  <c r="M192" i="1"/>
  <c r="I144" i="1"/>
  <c r="J144" i="1" s="1"/>
  <c r="K144" i="1" s="1"/>
  <c r="L144" i="1" s="1"/>
  <c r="J99" i="1"/>
  <c r="K99" i="1" s="1"/>
  <c r="N99" i="1"/>
  <c r="M10" i="1"/>
  <c r="M176" i="1"/>
  <c r="M95" i="1"/>
  <c r="N14" i="1"/>
  <c r="M68" i="1"/>
  <c r="N74" i="1"/>
  <c r="I17" i="1"/>
  <c r="J17" i="1" s="1"/>
  <c r="K17" i="1" s="1"/>
  <c r="L17" i="1" s="1"/>
  <c r="G96" i="1"/>
  <c r="M74" i="1"/>
  <c r="M29" i="1"/>
  <c r="L121" i="1"/>
  <c r="M175" i="1"/>
  <c r="M13" i="1"/>
  <c r="M166" i="1"/>
  <c r="N160" i="1"/>
  <c r="L139" i="1"/>
  <c r="M139" i="1"/>
  <c r="L22" i="1"/>
  <c r="M22" i="1"/>
  <c r="L164" i="1"/>
  <c r="M164" i="1"/>
  <c r="M39" i="1"/>
  <c r="J98" i="1"/>
  <c r="K98" i="1" s="1"/>
  <c r="N98" i="1"/>
  <c r="J112" i="1"/>
  <c r="K112" i="1" s="1"/>
  <c r="N112" i="1"/>
  <c r="J147" i="1"/>
  <c r="K147" i="1" s="1"/>
  <c r="L147" i="1" s="1"/>
  <c r="N147" i="1"/>
  <c r="M188" i="1"/>
  <c r="J47" i="1"/>
  <c r="K47" i="1" s="1"/>
  <c r="N47" i="1"/>
  <c r="J26" i="1"/>
  <c r="K26" i="1" s="1"/>
  <c r="N26" i="1"/>
  <c r="M92" i="1"/>
  <c r="N113" i="1"/>
  <c r="M152" i="1"/>
  <c r="M8" i="1"/>
  <c r="M142" i="1"/>
  <c r="M137" i="1"/>
  <c r="J97" i="1"/>
  <c r="K97" i="1" s="1"/>
  <c r="N97" i="1"/>
  <c r="M150" i="1"/>
  <c r="M138" i="1"/>
  <c r="M85" i="1"/>
  <c r="M169" i="1"/>
  <c r="G37" i="1"/>
  <c r="J134" i="1"/>
  <c r="K134" i="1" s="1"/>
  <c r="N134" i="1"/>
  <c r="J76" i="1"/>
  <c r="K76" i="1" s="1"/>
  <c r="L76" i="1" s="1"/>
  <c r="N76" i="1"/>
  <c r="M65" i="1"/>
  <c r="M100" i="1"/>
  <c r="M119" i="1"/>
  <c r="M154" i="1"/>
  <c r="M129" i="1"/>
  <c r="M180" i="1"/>
  <c r="M143" i="1"/>
  <c r="M206" i="1"/>
  <c r="M106" i="1"/>
  <c r="M53" i="1"/>
  <c r="M178" i="1"/>
  <c r="M162" i="1"/>
  <c r="M105" i="1"/>
  <c r="M157" i="1"/>
  <c r="M57" i="1"/>
  <c r="M55" i="1"/>
  <c r="M93" i="1"/>
  <c r="M202" i="1"/>
  <c r="M174" i="1"/>
  <c r="M170" i="1"/>
  <c r="M102" i="1"/>
  <c r="M82" i="1"/>
  <c r="M84" i="1"/>
  <c r="M28" i="1"/>
  <c r="M58" i="1"/>
  <c r="M27" i="1"/>
  <c r="M56" i="1"/>
  <c r="M42" i="1"/>
  <c r="M199" i="1"/>
  <c r="M165" i="1"/>
  <c r="M172" i="1"/>
  <c r="M114" i="1"/>
  <c r="M49" i="1"/>
  <c r="M34" i="1"/>
  <c r="M12" i="1"/>
  <c r="M186" i="1"/>
  <c r="M161" i="1"/>
  <c r="M79" i="1"/>
  <c r="M83" i="1"/>
  <c r="M167" i="1"/>
  <c r="M44" i="1"/>
  <c r="M11" i="1"/>
  <c r="L163" i="1"/>
  <c r="M36" i="1"/>
  <c r="M128" i="1"/>
  <c r="M155" i="1"/>
  <c r="M191" i="1"/>
  <c r="M125" i="1"/>
  <c r="L123" i="1"/>
  <c r="M50" i="1"/>
  <c r="M59" i="1"/>
  <c r="M108" i="1"/>
  <c r="M126" i="1"/>
  <c r="M156" i="1"/>
  <c r="M7" i="1"/>
  <c r="M90" i="1"/>
  <c r="M141" i="1"/>
  <c r="M151" i="1"/>
  <c r="M182" i="1"/>
  <c r="M24" i="1"/>
  <c r="L67" i="1"/>
  <c r="M71" i="1"/>
  <c r="M171" i="1"/>
  <c r="M196" i="1"/>
  <c r="M107" i="1"/>
  <c r="M200" i="1"/>
  <c r="M193" i="1"/>
  <c r="M15" i="1"/>
  <c r="M41" i="1"/>
  <c r="M20" i="1"/>
  <c r="M18" i="1"/>
  <c r="M52" i="1"/>
  <c r="M40" i="1"/>
  <c r="L40" i="1"/>
  <c r="M35" i="1"/>
  <c r="M31" i="1"/>
  <c r="M14" i="1"/>
  <c r="M91" i="1"/>
  <c r="M9" i="1"/>
  <c r="J96" i="1"/>
  <c r="J37" i="1"/>
  <c r="M64" i="1"/>
  <c r="J111" i="1" l="1"/>
  <c r="K111" i="1" s="1"/>
  <c r="L111" i="1" s="1"/>
  <c r="M160" i="1"/>
  <c r="J158" i="1"/>
  <c r="K158" i="1" s="1"/>
  <c r="L158" i="1" s="1"/>
  <c r="M136" i="1"/>
  <c r="N38" i="1"/>
  <c r="M86" i="1"/>
  <c r="M173" i="1"/>
  <c r="M61" i="1"/>
  <c r="N88" i="1"/>
  <c r="M76" i="1"/>
  <c r="M17" i="1"/>
  <c r="M147" i="1"/>
  <c r="M144" i="1"/>
  <c r="N73" i="1"/>
  <c r="N159" i="1"/>
  <c r="L159" i="1"/>
  <c r="M159" i="1"/>
  <c r="N17" i="1"/>
  <c r="L99" i="1"/>
  <c r="M99" i="1"/>
  <c r="N144" i="1"/>
  <c r="K96" i="1"/>
  <c r="L96" i="1" s="1"/>
  <c r="L98" i="1"/>
  <c r="M98" i="1"/>
  <c r="L26" i="1"/>
  <c r="M26" i="1"/>
  <c r="L97" i="1"/>
  <c r="M97" i="1"/>
  <c r="L47" i="1"/>
  <c r="M47" i="1"/>
  <c r="L112" i="1"/>
  <c r="M112" i="1"/>
  <c r="M73" i="1"/>
  <c r="L134" i="1"/>
  <c r="M134" i="1"/>
  <c r="K37" i="1"/>
  <c r="L37" i="1" s="1"/>
  <c r="M113" i="1"/>
  <c r="M38" i="1"/>
  <c r="M88" i="1"/>
  <c r="M111" i="1" l="1"/>
  <c r="M158" i="1"/>
  <c r="M96" i="1"/>
  <c r="M37" i="1"/>
  <c r="E1" i="1"/>
  <c r="E2" i="1" s="1"/>
  <c r="E4" i="1" s="1"/>
</calcChain>
</file>

<file path=xl/sharedStrings.xml><?xml version="1.0" encoding="utf-8"?>
<sst xmlns="http://schemas.openxmlformats.org/spreadsheetml/2006/main" count="60" uniqueCount="59">
  <si>
    <t>Frequency</t>
  </si>
  <si>
    <t>Inductance</t>
  </si>
  <si>
    <t>Vin</t>
  </si>
  <si>
    <t>Duty</t>
  </si>
  <si>
    <t>Vout</t>
  </si>
  <si>
    <t>Ripple Current (A)</t>
  </si>
  <si>
    <t>Irms</t>
  </si>
  <si>
    <t>Imin</t>
  </si>
  <si>
    <t>Imax</t>
  </si>
  <si>
    <t>Pout</t>
  </si>
  <si>
    <t>Energy/Cycle</t>
  </si>
  <si>
    <t>Time On</t>
  </si>
  <si>
    <t>Idc</t>
  </si>
  <si>
    <t>Edc</t>
  </si>
  <si>
    <t>E Capacitor</t>
  </si>
  <si>
    <t>Ripple Voltage</t>
  </si>
  <si>
    <t>Capacitor</t>
  </si>
  <si>
    <t>Ein vs Eout</t>
  </si>
  <si>
    <t>Num 10uF @ 29V DC Bias</t>
  </si>
  <si>
    <t>Area of 1210 package</t>
  </si>
  <si>
    <t>Board Area (mm2)</t>
  </si>
  <si>
    <t>Capacitance (F)</t>
  </si>
  <si>
    <t>GCM32EC71H106KA03L</t>
  </si>
  <si>
    <t>Suitable Cap</t>
  </si>
  <si>
    <t xml:space="preserve"> +80% Duty Cycle @ 10A 15kHz</t>
  </si>
  <si>
    <t>0.5V Ripple</t>
  </si>
  <si>
    <t>40 Capacitors</t>
  </si>
  <si>
    <t>200uF</t>
  </si>
  <si>
    <t>RMS Capacitor Current</t>
  </si>
  <si>
    <t>22DIAM</t>
  </si>
  <si>
    <t>LGW2G271MELZ50</t>
  </si>
  <si>
    <t>270uF Cap</t>
  </si>
  <si>
    <t>ADI</t>
  </si>
  <si>
    <t>TI</t>
  </si>
  <si>
    <t>MLCC</t>
  </si>
  <si>
    <t>ESL</t>
  </si>
  <si>
    <t>Total ESL</t>
  </si>
  <si>
    <t>Quantity</t>
  </si>
  <si>
    <t>ESR</t>
  </si>
  <si>
    <t>10kHz</t>
  </si>
  <si>
    <t>30kHz</t>
  </si>
  <si>
    <t>Capacitance</t>
  </si>
  <si>
    <t>Elec 1</t>
  </si>
  <si>
    <t>Elec 2</t>
  </si>
  <si>
    <t>Elec 3</t>
  </si>
  <si>
    <t>Z</t>
  </si>
  <si>
    <t>F</t>
  </si>
  <si>
    <t>Current</t>
  </si>
  <si>
    <t>Ztotal</t>
  </si>
  <si>
    <t>Zmlcc</t>
  </si>
  <si>
    <t>|Ztotal|</t>
  </si>
  <si>
    <t>|Zmlcc|</t>
  </si>
  <si>
    <t>|Z|</t>
  </si>
  <si>
    <t>Icap</t>
  </si>
  <si>
    <t>Power Loss</t>
  </si>
  <si>
    <t>Power</t>
  </si>
  <si>
    <t>Only Elec</t>
  </si>
  <si>
    <t>Distance(mm)</t>
  </si>
  <si>
    <t>Single MLCC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</si>
</sst>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" fillId="0" borderId="0" xfId="1"/>
    <xf numFmtId="164" fontId="0" fillId="0" borderId="0" xfId="0" applyNumberFormat="1"/>
    <xf numFmtId="0" fontId="2" fillId="0" borderId="0" xfId="0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12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Current vs Duty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746241008989001E-2"/>
          <c:y val="8.0620208905375065E-2"/>
          <c:w val="0.88812710545361939"/>
          <c:h val="0.823036995820968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Ripple 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Sheet1!$C$7:$C$206</c:f>
              <c:numCache>
                <c:formatCode>General</c:formatCode>
                <c:ptCount val="200"/>
                <c:pt idx="0">
                  <c:v>4.1790000000000008E-2</c:v>
                </c:pt>
                <c:pt idx="1">
                  <c:v>8.3160000000000012E-2</c:v>
                </c:pt>
                <c:pt idx="2">
                  <c:v>0.12411000000000001</c:v>
                </c:pt>
                <c:pt idx="3">
                  <c:v>0.16464000000000001</c:v>
                </c:pt>
                <c:pt idx="4">
                  <c:v>0.20475000000000004</c:v>
                </c:pt>
                <c:pt idx="5">
                  <c:v>0.24443999999999999</c:v>
                </c:pt>
                <c:pt idx="6">
                  <c:v>0.28371000000000002</c:v>
                </c:pt>
                <c:pt idx="7">
                  <c:v>0.32256000000000001</c:v>
                </c:pt>
                <c:pt idx="8">
                  <c:v>0.36098999999999998</c:v>
                </c:pt>
                <c:pt idx="9">
                  <c:v>0.39900000000000008</c:v>
                </c:pt>
                <c:pt idx="10">
                  <c:v>0.43658999999999998</c:v>
                </c:pt>
                <c:pt idx="11">
                  <c:v>0.47376000000000001</c:v>
                </c:pt>
                <c:pt idx="12">
                  <c:v>0.51051000000000002</c:v>
                </c:pt>
                <c:pt idx="13">
                  <c:v>0.5468400000000001</c:v>
                </c:pt>
                <c:pt idx="14">
                  <c:v>0.5827500000000001</c:v>
                </c:pt>
                <c:pt idx="15">
                  <c:v>0.61824000000000012</c:v>
                </c:pt>
                <c:pt idx="16">
                  <c:v>0.65331000000000006</c:v>
                </c:pt>
                <c:pt idx="17">
                  <c:v>0.68796000000000002</c:v>
                </c:pt>
                <c:pt idx="18">
                  <c:v>0.72219</c:v>
                </c:pt>
                <c:pt idx="19">
                  <c:v>0.75600000000000012</c:v>
                </c:pt>
                <c:pt idx="20">
                  <c:v>0.78939000000000004</c:v>
                </c:pt>
                <c:pt idx="21">
                  <c:v>0.82235999999999998</c:v>
                </c:pt>
                <c:pt idx="22">
                  <c:v>0.85491000000000017</c:v>
                </c:pt>
                <c:pt idx="23">
                  <c:v>0.88704000000000005</c:v>
                </c:pt>
                <c:pt idx="24">
                  <c:v>0.91875000000000007</c:v>
                </c:pt>
                <c:pt idx="25">
                  <c:v>0.95004000000000022</c:v>
                </c:pt>
                <c:pt idx="26">
                  <c:v>0.98091000000000006</c:v>
                </c:pt>
                <c:pt idx="27">
                  <c:v>1.0113600000000003</c:v>
                </c:pt>
                <c:pt idx="28">
                  <c:v>1.04139</c:v>
                </c:pt>
                <c:pt idx="29">
                  <c:v>1.071</c:v>
                </c:pt>
                <c:pt idx="30">
                  <c:v>1.10019</c:v>
                </c:pt>
                <c:pt idx="31">
                  <c:v>1.1289600000000002</c:v>
                </c:pt>
                <c:pt idx="32">
                  <c:v>1.1573100000000001</c:v>
                </c:pt>
                <c:pt idx="33">
                  <c:v>1.1852400000000003</c:v>
                </c:pt>
                <c:pt idx="34">
                  <c:v>1.21275</c:v>
                </c:pt>
                <c:pt idx="35">
                  <c:v>1.2398399999999998</c:v>
                </c:pt>
                <c:pt idx="36">
                  <c:v>1.2665100000000002</c:v>
                </c:pt>
                <c:pt idx="37">
                  <c:v>1.2927600000000001</c:v>
                </c:pt>
                <c:pt idx="38">
                  <c:v>1.3185899999999999</c:v>
                </c:pt>
                <c:pt idx="39">
                  <c:v>1.3440000000000001</c:v>
                </c:pt>
                <c:pt idx="40">
                  <c:v>1.3689900000000002</c:v>
                </c:pt>
                <c:pt idx="41">
                  <c:v>1.3935599999999999</c:v>
                </c:pt>
                <c:pt idx="42">
                  <c:v>1.4177100000000002</c:v>
                </c:pt>
                <c:pt idx="43">
                  <c:v>1.4414400000000001</c:v>
                </c:pt>
                <c:pt idx="44">
                  <c:v>1.4647500000000002</c:v>
                </c:pt>
                <c:pt idx="45">
                  <c:v>1.4876400000000001</c:v>
                </c:pt>
                <c:pt idx="46">
                  <c:v>1.5101100000000001</c:v>
                </c:pt>
                <c:pt idx="47">
                  <c:v>1.5321600000000002</c:v>
                </c:pt>
                <c:pt idx="48">
                  <c:v>1.55379</c:v>
                </c:pt>
                <c:pt idx="49">
                  <c:v>1.575</c:v>
                </c:pt>
                <c:pt idx="50">
                  <c:v>1.59579</c:v>
                </c:pt>
                <c:pt idx="51">
                  <c:v>1.61616</c:v>
                </c:pt>
                <c:pt idx="52">
                  <c:v>1.6361100000000002</c:v>
                </c:pt>
                <c:pt idx="53">
                  <c:v>1.6556400000000002</c:v>
                </c:pt>
                <c:pt idx="54">
                  <c:v>1.6747500000000002</c:v>
                </c:pt>
                <c:pt idx="55">
                  <c:v>1.6934400000000005</c:v>
                </c:pt>
                <c:pt idx="56">
                  <c:v>1.7117100000000001</c:v>
                </c:pt>
                <c:pt idx="57">
                  <c:v>1.72956</c:v>
                </c:pt>
                <c:pt idx="58">
                  <c:v>1.7469900000000003</c:v>
                </c:pt>
                <c:pt idx="59">
                  <c:v>1.764</c:v>
                </c:pt>
                <c:pt idx="60">
                  <c:v>1.7805900000000001</c:v>
                </c:pt>
                <c:pt idx="61">
                  <c:v>1.7967600000000004</c:v>
                </c:pt>
                <c:pt idx="62">
                  <c:v>1.8125100000000001</c:v>
                </c:pt>
                <c:pt idx="63">
                  <c:v>1.8278400000000001</c:v>
                </c:pt>
                <c:pt idx="64">
                  <c:v>1.8427500000000003</c:v>
                </c:pt>
                <c:pt idx="65">
                  <c:v>1.8572400000000004</c:v>
                </c:pt>
                <c:pt idx="66">
                  <c:v>1.87131</c:v>
                </c:pt>
                <c:pt idx="67">
                  <c:v>1.88496</c:v>
                </c:pt>
                <c:pt idx="68">
                  <c:v>1.8981899999999998</c:v>
                </c:pt>
                <c:pt idx="69">
                  <c:v>1.911</c:v>
                </c:pt>
                <c:pt idx="70">
                  <c:v>1.9233900000000002</c:v>
                </c:pt>
                <c:pt idx="71">
                  <c:v>1.93536</c:v>
                </c:pt>
                <c:pt idx="72">
                  <c:v>1.9469099999999997</c:v>
                </c:pt>
                <c:pt idx="73">
                  <c:v>1.9580400000000002</c:v>
                </c:pt>
                <c:pt idx="74">
                  <c:v>1.9687500000000002</c:v>
                </c:pt>
                <c:pt idx="75">
                  <c:v>1.9790400000000006</c:v>
                </c:pt>
                <c:pt idx="76">
                  <c:v>1.9889100000000004</c:v>
                </c:pt>
                <c:pt idx="77">
                  <c:v>1.9983600000000001</c:v>
                </c:pt>
                <c:pt idx="78">
                  <c:v>2.00739</c:v>
                </c:pt>
                <c:pt idx="79">
                  <c:v>2.0160000000000005</c:v>
                </c:pt>
                <c:pt idx="80">
                  <c:v>2.0241900000000004</c:v>
                </c:pt>
                <c:pt idx="81">
                  <c:v>2.0319600000000002</c:v>
                </c:pt>
                <c:pt idx="82">
                  <c:v>2.03931</c:v>
                </c:pt>
                <c:pt idx="83">
                  <c:v>2.0462400000000001</c:v>
                </c:pt>
                <c:pt idx="84">
                  <c:v>2.0527500000000005</c:v>
                </c:pt>
                <c:pt idx="85">
                  <c:v>2.05884</c:v>
                </c:pt>
                <c:pt idx="86">
                  <c:v>2.0645099999999998</c:v>
                </c:pt>
                <c:pt idx="87">
                  <c:v>2.06976</c:v>
                </c:pt>
                <c:pt idx="88">
                  <c:v>2.0745900000000002</c:v>
                </c:pt>
                <c:pt idx="89">
                  <c:v>2.0790000000000002</c:v>
                </c:pt>
                <c:pt idx="90">
                  <c:v>2.0829899999999997</c:v>
                </c:pt>
                <c:pt idx="91">
                  <c:v>2.08656</c:v>
                </c:pt>
                <c:pt idx="92">
                  <c:v>2.0897100000000002</c:v>
                </c:pt>
                <c:pt idx="93">
                  <c:v>2.0924400000000003</c:v>
                </c:pt>
                <c:pt idx="94">
                  <c:v>2.0947500000000003</c:v>
                </c:pt>
                <c:pt idx="95">
                  <c:v>2.0966400000000003</c:v>
                </c:pt>
                <c:pt idx="96">
                  <c:v>2.0981100000000001</c:v>
                </c:pt>
                <c:pt idx="97">
                  <c:v>2.0991600000000004</c:v>
                </c:pt>
                <c:pt idx="98">
                  <c:v>2.09979</c:v>
                </c:pt>
                <c:pt idx="99">
                  <c:v>2.1</c:v>
                </c:pt>
                <c:pt idx="100">
                  <c:v>2.09979</c:v>
                </c:pt>
                <c:pt idx="101">
                  <c:v>2.0991600000000004</c:v>
                </c:pt>
                <c:pt idx="102">
                  <c:v>2.0981100000000001</c:v>
                </c:pt>
                <c:pt idx="103">
                  <c:v>2.0966399999999998</c:v>
                </c:pt>
                <c:pt idx="104">
                  <c:v>2.0947499999999999</c:v>
                </c:pt>
                <c:pt idx="105">
                  <c:v>2.0924400000000003</c:v>
                </c:pt>
                <c:pt idx="106">
                  <c:v>2.0897099999999997</c:v>
                </c:pt>
                <c:pt idx="107">
                  <c:v>2.08656</c:v>
                </c:pt>
                <c:pt idx="108">
                  <c:v>2.0829900000000001</c:v>
                </c:pt>
                <c:pt idx="109">
                  <c:v>2.0789999999999997</c:v>
                </c:pt>
                <c:pt idx="110">
                  <c:v>2.0745900000000002</c:v>
                </c:pt>
                <c:pt idx="111">
                  <c:v>2.06976</c:v>
                </c:pt>
                <c:pt idx="112">
                  <c:v>2.0645100000000003</c:v>
                </c:pt>
                <c:pt idx="113">
                  <c:v>2.05884</c:v>
                </c:pt>
                <c:pt idx="114">
                  <c:v>2.0527500000000001</c:v>
                </c:pt>
                <c:pt idx="115">
                  <c:v>2.0462400000000001</c:v>
                </c:pt>
                <c:pt idx="116">
                  <c:v>2.03931</c:v>
                </c:pt>
                <c:pt idx="117">
                  <c:v>2.0319600000000007</c:v>
                </c:pt>
                <c:pt idx="118">
                  <c:v>2.0241899999999999</c:v>
                </c:pt>
                <c:pt idx="119">
                  <c:v>2.0160000000000005</c:v>
                </c:pt>
                <c:pt idx="120">
                  <c:v>2.00739</c:v>
                </c:pt>
                <c:pt idx="121">
                  <c:v>1.9983600000000004</c:v>
                </c:pt>
                <c:pt idx="122">
                  <c:v>1.9889100000000002</c:v>
                </c:pt>
                <c:pt idx="123">
                  <c:v>1.9790400000000001</c:v>
                </c:pt>
                <c:pt idx="124">
                  <c:v>1.96875</c:v>
                </c:pt>
                <c:pt idx="125">
                  <c:v>1.9580400000000002</c:v>
                </c:pt>
                <c:pt idx="126">
                  <c:v>1.9469100000000001</c:v>
                </c:pt>
                <c:pt idx="127">
                  <c:v>1.9353600000000004</c:v>
                </c:pt>
                <c:pt idx="128">
                  <c:v>1.9233899999999997</c:v>
                </c:pt>
                <c:pt idx="129">
                  <c:v>1.911</c:v>
                </c:pt>
                <c:pt idx="130">
                  <c:v>1.8981899999999998</c:v>
                </c:pt>
                <c:pt idx="131">
                  <c:v>1.88496</c:v>
                </c:pt>
                <c:pt idx="132">
                  <c:v>1.8713100000000003</c:v>
                </c:pt>
                <c:pt idx="133">
                  <c:v>1.85724</c:v>
                </c:pt>
                <c:pt idx="134">
                  <c:v>1.8427500000000003</c:v>
                </c:pt>
                <c:pt idx="135">
                  <c:v>1.8278399999999999</c:v>
                </c:pt>
                <c:pt idx="136">
                  <c:v>1.8125100000000001</c:v>
                </c:pt>
                <c:pt idx="137">
                  <c:v>1.7967600000000004</c:v>
                </c:pt>
                <c:pt idx="138">
                  <c:v>1.7805900000000006</c:v>
                </c:pt>
                <c:pt idx="139">
                  <c:v>1.764</c:v>
                </c:pt>
                <c:pt idx="140">
                  <c:v>1.7469900000000005</c:v>
                </c:pt>
                <c:pt idx="141">
                  <c:v>1.72956</c:v>
                </c:pt>
                <c:pt idx="142">
                  <c:v>1.7117100000000005</c:v>
                </c:pt>
                <c:pt idx="143">
                  <c:v>1.6934399999999998</c:v>
                </c:pt>
                <c:pt idx="144">
                  <c:v>1.6747500000000002</c:v>
                </c:pt>
                <c:pt idx="145">
                  <c:v>1.65564</c:v>
                </c:pt>
                <c:pt idx="146">
                  <c:v>1.6361100000000004</c:v>
                </c:pt>
                <c:pt idx="147">
                  <c:v>1.6161599999999998</c:v>
                </c:pt>
                <c:pt idx="148">
                  <c:v>1.59579</c:v>
                </c:pt>
                <c:pt idx="149">
                  <c:v>1.5750000000000004</c:v>
                </c:pt>
                <c:pt idx="150">
                  <c:v>1.55379</c:v>
                </c:pt>
                <c:pt idx="151">
                  <c:v>1.5321600000000004</c:v>
                </c:pt>
                <c:pt idx="152">
                  <c:v>1.5101099999999998</c:v>
                </c:pt>
                <c:pt idx="153">
                  <c:v>1.4876400000000005</c:v>
                </c:pt>
                <c:pt idx="154">
                  <c:v>1.4647499999999998</c:v>
                </c:pt>
                <c:pt idx="155">
                  <c:v>1.4414400000000003</c:v>
                </c:pt>
                <c:pt idx="156">
                  <c:v>1.4177099999999998</c:v>
                </c:pt>
                <c:pt idx="157">
                  <c:v>1.3935600000000001</c:v>
                </c:pt>
                <c:pt idx="158">
                  <c:v>1.3689899999999995</c:v>
                </c:pt>
                <c:pt idx="159">
                  <c:v>1.3440000000000001</c:v>
                </c:pt>
                <c:pt idx="160">
                  <c:v>1.3185899999999995</c:v>
                </c:pt>
                <c:pt idx="161">
                  <c:v>1.2927599999999999</c:v>
                </c:pt>
                <c:pt idx="162">
                  <c:v>1.2665100000000002</c:v>
                </c:pt>
                <c:pt idx="163">
                  <c:v>1.2398400000000003</c:v>
                </c:pt>
                <c:pt idx="164">
                  <c:v>1.21275</c:v>
                </c:pt>
                <c:pt idx="165">
                  <c:v>1.1852400000000005</c:v>
                </c:pt>
                <c:pt idx="166">
                  <c:v>1.1573099999999998</c:v>
                </c:pt>
                <c:pt idx="167">
                  <c:v>1.1289600000000002</c:v>
                </c:pt>
                <c:pt idx="168">
                  <c:v>1.1001900000000007</c:v>
                </c:pt>
                <c:pt idx="169">
                  <c:v>1.0710000000000002</c:v>
                </c:pt>
                <c:pt idx="170">
                  <c:v>1.0413900000000005</c:v>
                </c:pt>
                <c:pt idx="171">
                  <c:v>1.01136</c:v>
                </c:pt>
                <c:pt idx="172">
                  <c:v>0.98091000000000039</c:v>
                </c:pt>
                <c:pt idx="173">
                  <c:v>0.95003999999999988</c:v>
                </c:pt>
                <c:pt idx="174">
                  <c:v>0.91875000000000029</c:v>
                </c:pt>
                <c:pt idx="175">
                  <c:v>0.88703999999999983</c:v>
                </c:pt>
                <c:pt idx="176">
                  <c:v>0.85491000000000017</c:v>
                </c:pt>
                <c:pt idx="177">
                  <c:v>0.82235999999999965</c:v>
                </c:pt>
                <c:pt idx="178">
                  <c:v>0.78939000000000004</c:v>
                </c:pt>
                <c:pt idx="179">
                  <c:v>0.75599999999999956</c:v>
                </c:pt>
                <c:pt idx="180">
                  <c:v>0.72218999999999989</c:v>
                </c:pt>
                <c:pt idx="181">
                  <c:v>0.68795999999999946</c:v>
                </c:pt>
                <c:pt idx="182">
                  <c:v>0.65330999999999972</c:v>
                </c:pt>
                <c:pt idx="183">
                  <c:v>0.61824000000000023</c:v>
                </c:pt>
                <c:pt idx="184">
                  <c:v>0.58274999999999966</c:v>
                </c:pt>
                <c:pt idx="185">
                  <c:v>0.5468400000000001</c:v>
                </c:pt>
                <c:pt idx="186">
                  <c:v>0.51050999999999946</c:v>
                </c:pt>
                <c:pt idx="187">
                  <c:v>0.47376000000000079</c:v>
                </c:pt>
                <c:pt idx="188">
                  <c:v>0.43659000000000026</c:v>
                </c:pt>
                <c:pt idx="189">
                  <c:v>0.39900000000000069</c:v>
                </c:pt>
                <c:pt idx="190">
                  <c:v>0.36099000000000014</c:v>
                </c:pt>
                <c:pt idx="191">
                  <c:v>0.32256000000000051</c:v>
                </c:pt>
                <c:pt idx="192">
                  <c:v>0.28371000000000002</c:v>
                </c:pt>
                <c:pt idx="193">
                  <c:v>0.24444000000000043</c:v>
                </c:pt>
                <c:pt idx="194">
                  <c:v>0.20474999999999985</c:v>
                </c:pt>
                <c:pt idx="195">
                  <c:v>0.16464000000000029</c:v>
                </c:pt>
                <c:pt idx="196">
                  <c:v>0.12410999999999972</c:v>
                </c:pt>
                <c:pt idx="197">
                  <c:v>8.316000000000015E-2</c:v>
                </c:pt>
                <c:pt idx="198">
                  <c:v>4.1789999999999571E-2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5-4BA9-9D26-A38D2109CBB3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Imax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Sheet1!$E$7:$E$206</c:f>
              <c:numCache>
                <c:formatCode>General</c:formatCode>
                <c:ptCount val="200"/>
                <c:pt idx="0">
                  <c:v>20.041789999999999</c:v>
                </c:pt>
                <c:pt idx="1">
                  <c:v>20.083159999999999</c:v>
                </c:pt>
                <c:pt idx="2">
                  <c:v>20.124110000000002</c:v>
                </c:pt>
                <c:pt idx="3">
                  <c:v>20.164639999999999</c:v>
                </c:pt>
                <c:pt idx="4">
                  <c:v>20.204750000000001</c:v>
                </c:pt>
                <c:pt idx="5">
                  <c:v>20.244440000000001</c:v>
                </c:pt>
                <c:pt idx="6">
                  <c:v>20.283709999999999</c:v>
                </c:pt>
                <c:pt idx="7">
                  <c:v>20.322559999999999</c:v>
                </c:pt>
                <c:pt idx="8">
                  <c:v>20.360990000000001</c:v>
                </c:pt>
                <c:pt idx="9">
                  <c:v>20.399000000000001</c:v>
                </c:pt>
                <c:pt idx="10">
                  <c:v>20.436589999999999</c:v>
                </c:pt>
                <c:pt idx="11">
                  <c:v>20.473759999999999</c:v>
                </c:pt>
                <c:pt idx="12">
                  <c:v>20.51051</c:v>
                </c:pt>
                <c:pt idx="13">
                  <c:v>20.54684</c:v>
                </c:pt>
                <c:pt idx="14">
                  <c:v>20.582750000000001</c:v>
                </c:pt>
                <c:pt idx="15">
                  <c:v>20.61824</c:v>
                </c:pt>
                <c:pt idx="16">
                  <c:v>20.653310000000001</c:v>
                </c:pt>
                <c:pt idx="17">
                  <c:v>20.68796</c:v>
                </c:pt>
                <c:pt idx="18">
                  <c:v>20.722190000000001</c:v>
                </c:pt>
                <c:pt idx="19">
                  <c:v>20.756</c:v>
                </c:pt>
                <c:pt idx="20">
                  <c:v>20.789390000000001</c:v>
                </c:pt>
                <c:pt idx="21">
                  <c:v>20.82236</c:v>
                </c:pt>
                <c:pt idx="22">
                  <c:v>20.85491</c:v>
                </c:pt>
                <c:pt idx="23">
                  <c:v>20.887039999999999</c:v>
                </c:pt>
                <c:pt idx="24">
                  <c:v>20.918749999999999</c:v>
                </c:pt>
                <c:pt idx="25">
                  <c:v>20.950040000000001</c:v>
                </c:pt>
                <c:pt idx="26">
                  <c:v>20.980910000000002</c:v>
                </c:pt>
                <c:pt idx="27">
                  <c:v>21.01136</c:v>
                </c:pt>
                <c:pt idx="28">
                  <c:v>21.04139</c:v>
                </c:pt>
                <c:pt idx="29">
                  <c:v>21.071000000000002</c:v>
                </c:pt>
                <c:pt idx="30">
                  <c:v>21.100190000000001</c:v>
                </c:pt>
                <c:pt idx="31">
                  <c:v>21.128959999999999</c:v>
                </c:pt>
                <c:pt idx="32">
                  <c:v>21.157309999999999</c:v>
                </c:pt>
                <c:pt idx="33">
                  <c:v>21.18524</c:v>
                </c:pt>
                <c:pt idx="34">
                  <c:v>21.21275</c:v>
                </c:pt>
                <c:pt idx="35">
                  <c:v>21.239840000000001</c:v>
                </c:pt>
                <c:pt idx="36">
                  <c:v>21.26651</c:v>
                </c:pt>
                <c:pt idx="37">
                  <c:v>21.292760000000001</c:v>
                </c:pt>
                <c:pt idx="38">
                  <c:v>21.31859</c:v>
                </c:pt>
                <c:pt idx="39">
                  <c:v>21.344000000000001</c:v>
                </c:pt>
                <c:pt idx="40">
                  <c:v>21.36899</c:v>
                </c:pt>
                <c:pt idx="41">
                  <c:v>21.393560000000001</c:v>
                </c:pt>
                <c:pt idx="42">
                  <c:v>21.41771</c:v>
                </c:pt>
                <c:pt idx="43">
                  <c:v>21.44144</c:v>
                </c:pt>
                <c:pt idx="44">
                  <c:v>21.464749999999999</c:v>
                </c:pt>
                <c:pt idx="45">
                  <c:v>21.487639999999999</c:v>
                </c:pt>
                <c:pt idx="46">
                  <c:v>21.510110000000001</c:v>
                </c:pt>
                <c:pt idx="47">
                  <c:v>21.532160000000001</c:v>
                </c:pt>
                <c:pt idx="48">
                  <c:v>21.553789999999999</c:v>
                </c:pt>
                <c:pt idx="49">
                  <c:v>21.574999999999999</c:v>
                </c:pt>
                <c:pt idx="50">
                  <c:v>21.595790000000001</c:v>
                </c:pt>
                <c:pt idx="51">
                  <c:v>21.616160000000001</c:v>
                </c:pt>
                <c:pt idx="52">
                  <c:v>21.636109999999999</c:v>
                </c:pt>
                <c:pt idx="53">
                  <c:v>21.655640000000002</c:v>
                </c:pt>
                <c:pt idx="54">
                  <c:v>21.67475</c:v>
                </c:pt>
                <c:pt idx="55">
                  <c:v>21.693439999999999</c:v>
                </c:pt>
                <c:pt idx="56">
                  <c:v>21.71171</c:v>
                </c:pt>
                <c:pt idx="57">
                  <c:v>21.729559999999999</c:v>
                </c:pt>
                <c:pt idx="58">
                  <c:v>21.74699</c:v>
                </c:pt>
                <c:pt idx="59">
                  <c:v>21.763999999999999</c:v>
                </c:pt>
                <c:pt idx="60">
                  <c:v>21.78059</c:v>
                </c:pt>
                <c:pt idx="61">
                  <c:v>21.796759999999999</c:v>
                </c:pt>
                <c:pt idx="62">
                  <c:v>21.81251</c:v>
                </c:pt>
                <c:pt idx="63">
                  <c:v>21.827840000000002</c:v>
                </c:pt>
                <c:pt idx="64">
                  <c:v>21.842749999999999</c:v>
                </c:pt>
                <c:pt idx="65">
                  <c:v>21.857240000000001</c:v>
                </c:pt>
                <c:pt idx="66">
                  <c:v>21.871310000000001</c:v>
                </c:pt>
                <c:pt idx="67">
                  <c:v>21.88496</c:v>
                </c:pt>
                <c:pt idx="68">
                  <c:v>21.89819</c:v>
                </c:pt>
                <c:pt idx="69">
                  <c:v>21.911000000000001</c:v>
                </c:pt>
                <c:pt idx="70">
                  <c:v>21.923390000000001</c:v>
                </c:pt>
                <c:pt idx="71">
                  <c:v>21.935359999999999</c:v>
                </c:pt>
                <c:pt idx="72">
                  <c:v>21.946909999999999</c:v>
                </c:pt>
                <c:pt idx="73">
                  <c:v>21.95804</c:v>
                </c:pt>
                <c:pt idx="74">
                  <c:v>21.96875</c:v>
                </c:pt>
                <c:pt idx="75">
                  <c:v>21.979040000000001</c:v>
                </c:pt>
                <c:pt idx="76">
                  <c:v>21.988910000000001</c:v>
                </c:pt>
                <c:pt idx="77">
                  <c:v>21.998360000000002</c:v>
                </c:pt>
                <c:pt idx="78">
                  <c:v>22.007390000000001</c:v>
                </c:pt>
                <c:pt idx="79">
                  <c:v>22.016000000000002</c:v>
                </c:pt>
                <c:pt idx="80">
                  <c:v>22.024190000000001</c:v>
                </c:pt>
                <c:pt idx="81">
                  <c:v>22.031960000000002</c:v>
                </c:pt>
                <c:pt idx="82">
                  <c:v>22.03931</c:v>
                </c:pt>
                <c:pt idx="83">
                  <c:v>22.046240000000001</c:v>
                </c:pt>
                <c:pt idx="84">
                  <c:v>22.05275</c:v>
                </c:pt>
                <c:pt idx="85">
                  <c:v>22.05884</c:v>
                </c:pt>
                <c:pt idx="86">
                  <c:v>22.064509999999999</c:v>
                </c:pt>
                <c:pt idx="87">
                  <c:v>22.069759999999999</c:v>
                </c:pt>
                <c:pt idx="88">
                  <c:v>22.074590000000001</c:v>
                </c:pt>
                <c:pt idx="89">
                  <c:v>22.079000000000001</c:v>
                </c:pt>
                <c:pt idx="90">
                  <c:v>22.082989999999999</c:v>
                </c:pt>
                <c:pt idx="91">
                  <c:v>22.086559999999999</c:v>
                </c:pt>
                <c:pt idx="92">
                  <c:v>22.08971</c:v>
                </c:pt>
                <c:pt idx="93">
                  <c:v>22.09244</c:v>
                </c:pt>
                <c:pt idx="94">
                  <c:v>22.094750000000001</c:v>
                </c:pt>
                <c:pt idx="95">
                  <c:v>22.096640000000001</c:v>
                </c:pt>
                <c:pt idx="96">
                  <c:v>22.098109999999998</c:v>
                </c:pt>
                <c:pt idx="97">
                  <c:v>22.099160000000001</c:v>
                </c:pt>
                <c:pt idx="98">
                  <c:v>22.099789999999999</c:v>
                </c:pt>
                <c:pt idx="99">
                  <c:v>22.1</c:v>
                </c:pt>
                <c:pt idx="100">
                  <c:v>22.099789999999999</c:v>
                </c:pt>
                <c:pt idx="101">
                  <c:v>22.099160000000001</c:v>
                </c:pt>
                <c:pt idx="102">
                  <c:v>22.098109999999998</c:v>
                </c:pt>
                <c:pt idx="103">
                  <c:v>22.096640000000001</c:v>
                </c:pt>
                <c:pt idx="104">
                  <c:v>22.094750000000001</c:v>
                </c:pt>
                <c:pt idx="105">
                  <c:v>22.09244</c:v>
                </c:pt>
                <c:pt idx="106">
                  <c:v>22.08971</c:v>
                </c:pt>
                <c:pt idx="107">
                  <c:v>22.086559999999999</c:v>
                </c:pt>
                <c:pt idx="108">
                  <c:v>22.082989999999999</c:v>
                </c:pt>
                <c:pt idx="109">
                  <c:v>22.079000000000001</c:v>
                </c:pt>
                <c:pt idx="110">
                  <c:v>22.074590000000001</c:v>
                </c:pt>
                <c:pt idx="111">
                  <c:v>22.069759999999999</c:v>
                </c:pt>
                <c:pt idx="112">
                  <c:v>22.064509999999999</c:v>
                </c:pt>
                <c:pt idx="113">
                  <c:v>22.05884</c:v>
                </c:pt>
                <c:pt idx="114">
                  <c:v>22.05275</c:v>
                </c:pt>
                <c:pt idx="115">
                  <c:v>22.046240000000001</c:v>
                </c:pt>
                <c:pt idx="116">
                  <c:v>22.03931</c:v>
                </c:pt>
                <c:pt idx="117">
                  <c:v>22.031960000000002</c:v>
                </c:pt>
                <c:pt idx="118">
                  <c:v>22.024190000000001</c:v>
                </c:pt>
                <c:pt idx="119">
                  <c:v>22.016000000000002</c:v>
                </c:pt>
                <c:pt idx="120">
                  <c:v>22.007390000000001</c:v>
                </c:pt>
                <c:pt idx="121">
                  <c:v>21.998360000000002</c:v>
                </c:pt>
                <c:pt idx="122">
                  <c:v>21.988910000000001</c:v>
                </c:pt>
                <c:pt idx="123">
                  <c:v>21.979040000000001</c:v>
                </c:pt>
                <c:pt idx="124">
                  <c:v>21.96875</c:v>
                </c:pt>
                <c:pt idx="125">
                  <c:v>21.95804</c:v>
                </c:pt>
                <c:pt idx="126">
                  <c:v>21.946909999999999</c:v>
                </c:pt>
                <c:pt idx="127">
                  <c:v>21.935359999999999</c:v>
                </c:pt>
                <c:pt idx="128">
                  <c:v>21.923390000000001</c:v>
                </c:pt>
                <c:pt idx="129">
                  <c:v>21.911000000000001</c:v>
                </c:pt>
                <c:pt idx="130">
                  <c:v>21.89819</c:v>
                </c:pt>
                <c:pt idx="131">
                  <c:v>21.88496</c:v>
                </c:pt>
                <c:pt idx="132">
                  <c:v>21.871310000000001</c:v>
                </c:pt>
                <c:pt idx="133">
                  <c:v>21.857240000000001</c:v>
                </c:pt>
                <c:pt idx="134">
                  <c:v>21.842749999999999</c:v>
                </c:pt>
                <c:pt idx="135">
                  <c:v>21.827839999999998</c:v>
                </c:pt>
                <c:pt idx="136">
                  <c:v>21.81251</c:v>
                </c:pt>
                <c:pt idx="137">
                  <c:v>21.796759999999999</c:v>
                </c:pt>
                <c:pt idx="138">
                  <c:v>21.78059</c:v>
                </c:pt>
                <c:pt idx="139">
                  <c:v>21.763999999999999</c:v>
                </c:pt>
                <c:pt idx="140">
                  <c:v>21.74699</c:v>
                </c:pt>
                <c:pt idx="141">
                  <c:v>21.729559999999999</c:v>
                </c:pt>
                <c:pt idx="142">
                  <c:v>21.71171</c:v>
                </c:pt>
                <c:pt idx="143">
                  <c:v>21.693439999999999</c:v>
                </c:pt>
                <c:pt idx="144">
                  <c:v>21.67475</c:v>
                </c:pt>
                <c:pt idx="145">
                  <c:v>21.655639999999998</c:v>
                </c:pt>
                <c:pt idx="146">
                  <c:v>21.636110000000002</c:v>
                </c:pt>
                <c:pt idx="147">
                  <c:v>21.616160000000001</c:v>
                </c:pt>
                <c:pt idx="148">
                  <c:v>21.595790000000001</c:v>
                </c:pt>
                <c:pt idx="149">
                  <c:v>21.574999999999999</c:v>
                </c:pt>
                <c:pt idx="150">
                  <c:v>21.553789999999999</c:v>
                </c:pt>
                <c:pt idx="151">
                  <c:v>21.532160000000001</c:v>
                </c:pt>
                <c:pt idx="152">
                  <c:v>21.510110000000001</c:v>
                </c:pt>
                <c:pt idx="153">
                  <c:v>21.487639999999999</c:v>
                </c:pt>
                <c:pt idx="154">
                  <c:v>21.464749999999999</c:v>
                </c:pt>
                <c:pt idx="155">
                  <c:v>21.44144</c:v>
                </c:pt>
                <c:pt idx="156">
                  <c:v>21.41771</c:v>
                </c:pt>
                <c:pt idx="157">
                  <c:v>21.393560000000001</c:v>
                </c:pt>
                <c:pt idx="158">
                  <c:v>21.36899</c:v>
                </c:pt>
                <c:pt idx="159">
                  <c:v>21.344000000000001</c:v>
                </c:pt>
                <c:pt idx="160">
                  <c:v>21.31859</c:v>
                </c:pt>
                <c:pt idx="161">
                  <c:v>21.292760000000001</c:v>
                </c:pt>
                <c:pt idx="162">
                  <c:v>21.26651</c:v>
                </c:pt>
                <c:pt idx="163">
                  <c:v>21.239840000000001</c:v>
                </c:pt>
                <c:pt idx="164">
                  <c:v>21.21275</c:v>
                </c:pt>
                <c:pt idx="165">
                  <c:v>21.18524</c:v>
                </c:pt>
                <c:pt idx="166">
                  <c:v>21.157309999999999</c:v>
                </c:pt>
                <c:pt idx="167">
                  <c:v>21.128959999999999</c:v>
                </c:pt>
                <c:pt idx="168">
                  <c:v>21.100190000000001</c:v>
                </c:pt>
                <c:pt idx="169">
                  <c:v>21.071000000000002</c:v>
                </c:pt>
                <c:pt idx="170">
                  <c:v>21.04139</c:v>
                </c:pt>
                <c:pt idx="171">
                  <c:v>21.01136</c:v>
                </c:pt>
                <c:pt idx="172">
                  <c:v>20.980910000000002</c:v>
                </c:pt>
                <c:pt idx="173">
                  <c:v>20.950040000000001</c:v>
                </c:pt>
                <c:pt idx="174">
                  <c:v>20.918749999999999</c:v>
                </c:pt>
                <c:pt idx="175">
                  <c:v>20.887039999999999</c:v>
                </c:pt>
                <c:pt idx="176">
                  <c:v>20.85491</c:v>
                </c:pt>
                <c:pt idx="177">
                  <c:v>20.82236</c:v>
                </c:pt>
                <c:pt idx="178">
                  <c:v>20.789390000000001</c:v>
                </c:pt>
                <c:pt idx="179">
                  <c:v>20.756</c:v>
                </c:pt>
                <c:pt idx="180">
                  <c:v>20.722190000000001</c:v>
                </c:pt>
                <c:pt idx="181">
                  <c:v>20.68796</c:v>
                </c:pt>
                <c:pt idx="182">
                  <c:v>20.653310000000001</c:v>
                </c:pt>
                <c:pt idx="183">
                  <c:v>20.61824</c:v>
                </c:pt>
                <c:pt idx="184">
                  <c:v>20.582750000000001</c:v>
                </c:pt>
                <c:pt idx="185">
                  <c:v>20.54684</c:v>
                </c:pt>
                <c:pt idx="186">
                  <c:v>20.51051</c:v>
                </c:pt>
                <c:pt idx="187">
                  <c:v>20.473760000000002</c:v>
                </c:pt>
                <c:pt idx="188">
                  <c:v>20.436589999999999</c:v>
                </c:pt>
                <c:pt idx="189">
                  <c:v>20.399000000000001</c:v>
                </c:pt>
                <c:pt idx="190">
                  <c:v>20.360990000000001</c:v>
                </c:pt>
                <c:pt idx="191">
                  <c:v>20.322559999999999</c:v>
                </c:pt>
                <c:pt idx="192">
                  <c:v>20.283709999999999</c:v>
                </c:pt>
                <c:pt idx="193">
                  <c:v>20.244440000000001</c:v>
                </c:pt>
                <c:pt idx="194">
                  <c:v>20.204750000000001</c:v>
                </c:pt>
                <c:pt idx="195">
                  <c:v>20.164639999999999</c:v>
                </c:pt>
                <c:pt idx="196">
                  <c:v>20.124109999999998</c:v>
                </c:pt>
                <c:pt idx="197">
                  <c:v>20.083159999999999</c:v>
                </c:pt>
                <c:pt idx="198">
                  <c:v>20.041789999999999</c:v>
                </c:pt>
                <c:pt idx="19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35-4BA9-9D26-A38D2109CBB3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Imin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Sheet1!$D$7:$D$206</c:f>
              <c:numCache>
                <c:formatCode>General</c:formatCode>
                <c:ptCount val="200"/>
                <c:pt idx="0">
                  <c:v>19.958210000000001</c:v>
                </c:pt>
                <c:pt idx="1">
                  <c:v>19.916840000000001</c:v>
                </c:pt>
                <c:pt idx="2">
                  <c:v>19.875889999999998</c:v>
                </c:pt>
                <c:pt idx="3">
                  <c:v>19.835360000000001</c:v>
                </c:pt>
                <c:pt idx="4">
                  <c:v>19.795249999999999</c:v>
                </c:pt>
                <c:pt idx="5">
                  <c:v>19.755559999999999</c:v>
                </c:pt>
                <c:pt idx="6">
                  <c:v>19.716290000000001</c:v>
                </c:pt>
                <c:pt idx="7">
                  <c:v>19.677440000000001</c:v>
                </c:pt>
                <c:pt idx="8">
                  <c:v>19.639009999999999</c:v>
                </c:pt>
                <c:pt idx="9">
                  <c:v>19.600999999999999</c:v>
                </c:pt>
                <c:pt idx="10">
                  <c:v>19.563410000000001</c:v>
                </c:pt>
                <c:pt idx="11">
                  <c:v>19.526240000000001</c:v>
                </c:pt>
                <c:pt idx="12">
                  <c:v>19.48949</c:v>
                </c:pt>
                <c:pt idx="13">
                  <c:v>19.45316</c:v>
                </c:pt>
                <c:pt idx="14">
                  <c:v>19.417249999999999</c:v>
                </c:pt>
                <c:pt idx="15">
                  <c:v>19.38176</c:v>
                </c:pt>
                <c:pt idx="16">
                  <c:v>19.346689999999999</c:v>
                </c:pt>
                <c:pt idx="17">
                  <c:v>19.31204</c:v>
                </c:pt>
                <c:pt idx="18">
                  <c:v>19.277809999999999</c:v>
                </c:pt>
                <c:pt idx="19">
                  <c:v>19.244</c:v>
                </c:pt>
                <c:pt idx="20">
                  <c:v>19.210609999999999</c:v>
                </c:pt>
                <c:pt idx="21">
                  <c:v>19.17764</c:v>
                </c:pt>
                <c:pt idx="22">
                  <c:v>19.14509</c:v>
                </c:pt>
                <c:pt idx="23">
                  <c:v>19.112960000000001</c:v>
                </c:pt>
                <c:pt idx="24">
                  <c:v>19.081250000000001</c:v>
                </c:pt>
                <c:pt idx="25">
                  <c:v>19.049959999999999</c:v>
                </c:pt>
                <c:pt idx="26">
                  <c:v>19.019089999999998</c:v>
                </c:pt>
                <c:pt idx="27">
                  <c:v>18.98864</c:v>
                </c:pt>
                <c:pt idx="28">
                  <c:v>18.95861</c:v>
                </c:pt>
                <c:pt idx="29">
                  <c:v>18.928999999999998</c:v>
                </c:pt>
                <c:pt idx="30">
                  <c:v>18.899809999999999</c:v>
                </c:pt>
                <c:pt idx="31">
                  <c:v>18.871040000000001</c:v>
                </c:pt>
                <c:pt idx="32">
                  <c:v>18.842690000000001</c:v>
                </c:pt>
                <c:pt idx="33">
                  <c:v>18.81476</c:v>
                </c:pt>
                <c:pt idx="34">
                  <c:v>18.78725</c:v>
                </c:pt>
                <c:pt idx="35">
                  <c:v>18.760159999999999</c:v>
                </c:pt>
                <c:pt idx="36">
                  <c:v>18.73349</c:v>
                </c:pt>
                <c:pt idx="37">
                  <c:v>18.707239999999999</c:v>
                </c:pt>
                <c:pt idx="38">
                  <c:v>18.68141</c:v>
                </c:pt>
                <c:pt idx="39">
                  <c:v>18.655999999999999</c:v>
                </c:pt>
                <c:pt idx="40">
                  <c:v>18.63101</c:v>
                </c:pt>
                <c:pt idx="41">
                  <c:v>18.606439999999999</c:v>
                </c:pt>
                <c:pt idx="42">
                  <c:v>18.58229</c:v>
                </c:pt>
                <c:pt idx="43">
                  <c:v>18.55856</c:v>
                </c:pt>
                <c:pt idx="44">
                  <c:v>18.535250000000001</c:v>
                </c:pt>
                <c:pt idx="45">
                  <c:v>18.512360000000001</c:v>
                </c:pt>
                <c:pt idx="46">
                  <c:v>18.489889999999999</c:v>
                </c:pt>
                <c:pt idx="47">
                  <c:v>18.467839999999999</c:v>
                </c:pt>
                <c:pt idx="48">
                  <c:v>18.446210000000001</c:v>
                </c:pt>
                <c:pt idx="49">
                  <c:v>18.425000000000001</c:v>
                </c:pt>
                <c:pt idx="50">
                  <c:v>18.404209999999999</c:v>
                </c:pt>
                <c:pt idx="51">
                  <c:v>18.383839999999999</c:v>
                </c:pt>
                <c:pt idx="52">
                  <c:v>18.363890000000001</c:v>
                </c:pt>
                <c:pt idx="53">
                  <c:v>18.344359999999998</c:v>
                </c:pt>
                <c:pt idx="54">
                  <c:v>18.32525</c:v>
                </c:pt>
                <c:pt idx="55">
                  <c:v>18.306560000000001</c:v>
                </c:pt>
                <c:pt idx="56">
                  <c:v>18.28829</c:v>
                </c:pt>
                <c:pt idx="57">
                  <c:v>18.270440000000001</c:v>
                </c:pt>
                <c:pt idx="58">
                  <c:v>18.25301</c:v>
                </c:pt>
                <c:pt idx="59">
                  <c:v>18.236000000000001</c:v>
                </c:pt>
                <c:pt idx="60">
                  <c:v>18.21941</c:v>
                </c:pt>
                <c:pt idx="61">
                  <c:v>18.203240000000001</c:v>
                </c:pt>
                <c:pt idx="62">
                  <c:v>18.18749</c:v>
                </c:pt>
                <c:pt idx="63">
                  <c:v>18.172159999999998</c:v>
                </c:pt>
                <c:pt idx="64">
                  <c:v>18.157250000000001</c:v>
                </c:pt>
                <c:pt idx="65">
                  <c:v>18.142759999999999</c:v>
                </c:pt>
                <c:pt idx="66">
                  <c:v>18.128689999999999</c:v>
                </c:pt>
                <c:pt idx="67">
                  <c:v>18.11504</c:v>
                </c:pt>
                <c:pt idx="68">
                  <c:v>18.10181</c:v>
                </c:pt>
                <c:pt idx="69">
                  <c:v>18.088999999999999</c:v>
                </c:pt>
                <c:pt idx="70">
                  <c:v>18.076609999999999</c:v>
                </c:pt>
                <c:pt idx="71">
                  <c:v>18.064640000000001</c:v>
                </c:pt>
                <c:pt idx="72">
                  <c:v>18.053090000000001</c:v>
                </c:pt>
                <c:pt idx="73">
                  <c:v>18.04196</c:v>
                </c:pt>
                <c:pt idx="74">
                  <c:v>18.03125</c:v>
                </c:pt>
                <c:pt idx="75">
                  <c:v>18.020959999999999</c:v>
                </c:pt>
                <c:pt idx="76">
                  <c:v>18.011089999999999</c:v>
                </c:pt>
                <c:pt idx="77">
                  <c:v>18.001639999999998</c:v>
                </c:pt>
                <c:pt idx="78">
                  <c:v>17.992609999999999</c:v>
                </c:pt>
                <c:pt idx="79">
                  <c:v>17.983999999999998</c:v>
                </c:pt>
                <c:pt idx="80">
                  <c:v>17.975809999999999</c:v>
                </c:pt>
                <c:pt idx="81">
                  <c:v>17.968039999999998</c:v>
                </c:pt>
                <c:pt idx="82">
                  <c:v>17.96069</c:v>
                </c:pt>
                <c:pt idx="83">
                  <c:v>17.953759999999999</c:v>
                </c:pt>
                <c:pt idx="84">
                  <c:v>17.94725</c:v>
                </c:pt>
                <c:pt idx="85">
                  <c:v>17.94116</c:v>
                </c:pt>
                <c:pt idx="86">
                  <c:v>17.935490000000001</c:v>
                </c:pt>
                <c:pt idx="87">
                  <c:v>17.930240000000001</c:v>
                </c:pt>
                <c:pt idx="88">
                  <c:v>17.925409999999999</c:v>
                </c:pt>
                <c:pt idx="89">
                  <c:v>17.920999999999999</c:v>
                </c:pt>
                <c:pt idx="90">
                  <c:v>17.917010000000001</c:v>
                </c:pt>
                <c:pt idx="91">
                  <c:v>17.913440000000001</c:v>
                </c:pt>
                <c:pt idx="92">
                  <c:v>17.91029</c:v>
                </c:pt>
                <c:pt idx="93">
                  <c:v>17.90756</c:v>
                </c:pt>
                <c:pt idx="94">
                  <c:v>17.905249999999999</c:v>
                </c:pt>
                <c:pt idx="95">
                  <c:v>17.903359999999999</c:v>
                </c:pt>
                <c:pt idx="96">
                  <c:v>17.901890000000002</c:v>
                </c:pt>
                <c:pt idx="97">
                  <c:v>17.900839999999999</c:v>
                </c:pt>
                <c:pt idx="98">
                  <c:v>17.900210000000001</c:v>
                </c:pt>
                <c:pt idx="99">
                  <c:v>17.899999999999999</c:v>
                </c:pt>
                <c:pt idx="100">
                  <c:v>17.900210000000001</c:v>
                </c:pt>
                <c:pt idx="101">
                  <c:v>17.900839999999999</c:v>
                </c:pt>
                <c:pt idx="102">
                  <c:v>17.901890000000002</c:v>
                </c:pt>
                <c:pt idx="103">
                  <c:v>17.903359999999999</c:v>
                </c:pt>
                <c:pt idx="104">
                  <c:v>17.905249999999999</c:v>
                </c:pt>
                <c:pt idx="105">
                  <c:v>17.90756</c:v>
                </c:pt>
                <c:pt idx="106">
                  <c:v>17.91029</c:v>
                </c:pt>
                <c:pt idx="107">
                  <c:v>17.913440000000001</c:v>
                </c:pt>
                <c:pt idx="108">
                  <c:v>17.917010000000001</c:v>
                </c:pt>
                <c:pt idx="109">
                  <c:v>17.920999999999999</c:v>
                </c:pt>
                <c:pt idx="110">
                  <c:v>17.925409999999999</c:v>
                </c:pt>
                <c:pt idx="111">
                  <c:v>17.930240000000001</c:v>
                </c:pt>
                <c:pt idx="112">
                  <c:v>17.935490000000001</c:v>
                </c:pt>
                <c:pt idx="113">
                  <c:v>17.94116</c:v>
                </c:pt>
                <c:pt idx="114">
                  <c:v>17.94725</c:v>
                </c:pt>
                <c:pt idx="115">
                  <c:v>17.953759999999999</c:v>
                </c:pt>
                <c:pt idx="116">
                  <c:v>17.96069</c:v>
                </c:pt>
                <c:pt idx="117">
                  <c:v>17.968039999999998</c:v>
                </c:pt>
                <c:pt idx="118">
                  <c:v>17.975809999999999</c:v>
                </c:pt>
                <c:pt idx="119">
                  <c:v>17.983999999999998</c:v>
                </c:pt>
                <c:pt idx="120">
                  <c:v>17.992609999999999</c:v>
                </c:pt>
                <c:pt idx="121">
                  <c:v>18.001639999999998</c:v>
                </c:pt>
                <c:pt idx="122">
                  <c:v>18.011089999999999</c:v>
                </c:pt>
                <c:pt idx="123">
                  <c:v>18.020959999999999</c:v>
                </c:pt>
                <c:pt idx="124">
                  <c:v>18.03125</c:v>
                </c:pt>
                <c:pt idx="125">
                  <c:v>18.04196</c:v>
                </c:pt>
                <c:pt idx="126">
                  <c:v>18.053090000000001</c:v>
                </c:pt>
                <c:pt idx="127">
                  <c:v>18.064640000000001</c:v>
                </c:pt>
                <c:pt idx="128">
                  <c:v>18.076609999999999</c:v>
                </c:pt>
                <c:pt idx="129">
                  <c:v>18.088999999999999</c:v>
                </c:pt>
                <c:pt idx="130">
                  <c:v>18.10181</c:v>
                </c:pt>
                <c:pt idx="131">
                  <c:v>18.11504</c:v>
                </c:pt>
                <c:pt idx="132">
                  <c:v>18.128689999999999</c:v>
                </c:pt>
                <c:pt idx="133">
                  <c:v>18.142759999999999</c:v>
                </c:pt>
                <c:pt idx="134">
                  <c:v>18.157250000000001</c:v>
                </c:pt>
                <c:pt idx="135">
                  <c:v>18.172160000000002</c:v>
                </c:pt>
                <c:pt idx="136">
                  <c:v>18.18749</c:v>
                </c:pt>
                <c:pt idx="137">
                  <c:v>18.203240000000001</c:v>
                </c:pt>
                <c:pt idx="138">
                  <c:v>18.21941</c:v>
                </c:pt>
                <c:pt idx="139">
                  <c:v>18.236000000000001</c:v>
                </c:pt>
                <c:pt idx="140">
                  <c:v>18.25301</c:v>
                </c:pt>
                <c:pt idx="141">
                  <c:v>18.270440000000001</c:v>
                </c:pt>
                <c:pt idx="142">
                  <c:v>18.28829</c:v>
                </c:pt>
                <c:pt idx="143">
                  <c:v>18.306560000000001</c:v>
                </c:pt>
                <c:pt idx="144">
                  <c:v>18.32525</c:v>
                </c:pt>
                <c:pt idx="145">
                  <c:v>18.344360000000002</c:v>
                </c:pt>
                <c:pt idx="146">
                  <c:v>18.363889999999998</c:v>
                </c:pt>
                <c:pt idx="147">
                  <c:v>18.383839999999999</c:v>
                </c:pt>
                <c:pt idx="148">
                  <c:v>18.404209999999999</c:v>
                </c:pt>
                <c:pt idx="149">
                  <c:v>18.425000000000001</c:v>
                </c:pt>
                <c:pt idx="150">
                  <c:v>18.446210000000001</c:v>
                </c:pt>
                <c:pt idx="151">
                  <c:v>18.467839999999999</c:v>
                </c:pt>
                <c:pt idx="152">
                  <c:v>18.489889999999999</c:v>
                </c:pt>
                <c:pt idx="153">
                  <c:v>18.512360000000001</c:v>
                </c:pt>
                <c:pt idx="154">
                  <c:v>18.535250000000001</c:v>
                </c:pt>
                <c:pt idx="155">
                  <c:v>18.55856</c:v>
                </c:pt>
                <c:pt idx="156">
                  <c:v>18.58229</c:v>
                </c:pt>
                <c:pt idx="157">
                  <c:v>18.606439999999999</c:v>
                </c:pt>
                <c:pt idx="158">
                  <c:v>18.63101</c:v>
                </c:pt>
                <c:pt idx="159">
                  <c:v>18.655999999999999</c:v>
                </c:pt>
                <c:pt idx="160">
                  <c:v>18.68141</c:v>
                </c:pt>
                <c:pt idx="161">
                  <c:v>18.707239999999999</c:v>
                </c:pt>
                <c:pt idx="162">
                  <c:v>18.73349</c:v>
                </c:pt>
                <c:pt idx="163">
                  <c:v>18.760159999999999</c:v>
                </c:pt>
                <c:pt idx="164">
                  <c:v>18.78725</c:v>
                </c:pt>
                <c:pt idx="165">
                  <c:v>18.81476</c:v>
                </c:pt>
                <c:pt idx="166">
                  <c:v>18.842690000000001</c:v>
                </c:pt>
                <c:pt idx="167">
                  <c:v>18.871040000000001</c:v>
                </c:pt>
                <c:pt idx="168">
                  <c:v>18.899809999999999</c:v>
                </c:pt>
                <c:pt idx="169">
                  <c:v>18.928999999999998</c:v>
                </c:pt>
                <c:pt idx="170">
                  <c:v>18.95861</c:v>
                </c:pt>
                <c:pt idx="171">
                  <c:v>18.98864</c:v>
                </c:pt>
                <c:pt idx="172">
                  <c:v>19.019089999999998</c:v>
                </c:pt>
                <c:pt idx="173">
                  <c:v>19.049959999999999</c:v>
                </c:pt>
                <c:pt idx="174">
                  <c:v>19.081250000000001</c:v>
                </c:pt>
                <c:pt idx="175">
                  <c:v>19.112960000000001</c:v>
                </c:pt>
                <c:pt idx="176">
                  <c:v>19.14509</c:v>
                </c:pt>
                <c:pt idx="177">
                  <c:v>19.17764</c:v>
                </c:pt>
                <c:pt idx="178">
                  <c:v>19.210609999999999</c:v>
                </c:pt>
                <c:pt idx="179">
                  <c:v>19.244</c:v>
                </c:pt>
                <c:pt idx="180">
                  <c:v>19.277809999999999</c:v>
                </c:pt>
                <c:pt idx="181">
                  <c:v>19.31204</c:v>
                </c:pt>
                <c:pt idx="182">
                  <c:v>19.346689999999999</c:v>
                </c:pt>
                <c:pt idx="183">
                  <c:v>19.38176</c:v>
                </c:pt>
                <c:pt idx="184">
                  <c:v>19.417249999999999</c:v>
                </c:pt>
                <c:pt idx="185">
                  <c:v>19.45316</c:v>
                </c:pt>
                <c:pt idx="186">
                  <c:v>19.48949</c:v>
                </c:pt>
                <c:pt idx="187">
                  <c:v>19.526239999999998</c:v>
                </c:pt>
                <c:pt idx="188">
                  <c:v>19.563410000000001</c:v>
                </c:pt>
                <c:pt idx="189">
                  <c:v>19.600999999999999</c:v>
                </c:pt>
                <c:pt idx="190">
                  <c:v>19.639009999999999</c:v>
                </c:pt>
                <c:pt idx="191">
                  <c:v>19.677440000000001</c:v>
                </c:pt>
                <c:pt idx="192">
                  <c:v>19.716290000000001</c:v>
                </c:pt>
                <c:pt idx="193">
                  <c:v>19.755559999999999</c:v>
                </c:pt>
                <c:pt idx="194">
                  <c:v>19.795249999999999</c:v>
                </c:pt>
                <c:pt idx="195">
                  <c:v>19.835360000000001</c:v>
                </c:pt>
                <c:pt idx="196">
                  <c:v>19.875890000000002</c:v>
                </c:pt>
                <c:pt idx="197">
                  <c:v>19.916840000000001</c:v>
                </c:pt>
                <c:pt idx="198">
                  <c:v>19.958210000000001</c:v>
                </c:pt>
                <c:pt idx="19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5-4BA9-9D26-A38D2109CBB3}"/>
            </c:ext>
          </c:extLst>
        </c:ser>
        <c:ser>
          <c:idx val="3"/>
          <c:order val="3"/>
          <c:tx>
            <c:strRef>
              <c:f>Sheet1!$I$6</c:f>
              <c:strCache>
                <c:ptCount val="1"/>
                <c:pt idx="0">
                  <c:v>Idc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Sheet1!$I$7:$I$206</c:f>
              <c:numCache>
                <c:formatCode>0.00E+00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0.70000000000000007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1.4999999999999998</c:v>
                </c:pt>
                <c:pt idx="15">
                  <c:v>1.6</c:v>
                </c:pt>
                <c:pt idx="16">
                  <c:v>1.7000000000000002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2.8000000000000003</c:v>
                </c:pt>
                <c:pt idx="28">
                  <c:v>2.9</c:v>
                </c:pt>
                <c:pt idx="29">
                  <c:v>2.9999999999999996</c:v>
                </c:pt>
                <c:pt idx="30">
                  <c:v>3.0999999999999996</c:v>
                </c:pt>
                <c:pt idx="31">
                  <c:v>3.2</c:v>
                </c:pt>
                <c:pt idx="32">
                  <c:v>3.3</c:v>
                </c:pt>
                <c:pt idx="33">
                  <c:v>3.4000000000000004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4.5000000000000009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5.1000000000000005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5.5000000000000009</c:v>
                </c:pt>
                <c:pt idx="55">
                  <c:v>5.6000000000000005</c:v>
                </c:pt>
                <c:pt idx="56">
                  <c:v>5.7</c:v>
                </c:pt>
                <c:pt idx="57">
                  <c:v>5.8</c:v>
                </c:pt>
                <c:pt idx="58">
                  <c:v>5.8999999999999995</c:v>
                </c:pt>
                <c:pt idx="59">
                  <c:v>5.9999999999999991</c:v>
                </c:pt>
                <c:pt idx="60">
                  <c:v>6.1</c:v>
                </c:pt>
                <c:pt idx="61">
                  <c:v>6.1999999999999993</c:v>
                </c:pt>
                <c:pt idx="62">
                  <c:v>6.2999999999999989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6.7000000000000011</c:v>
                </c:pt>
                <c:pt idx="67">
                  <c:v>6.8000000000000007</c:v>
                </c:pt>
                <c:pt idx="68">
                  <c:v>6.8999999999999995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7.3000000000000007</c:v>
                </c:pt>
                <c:pt idx="73">
                  <c:v>7.4</c:v>
                </c:pt>
                <c:pt idx="74">
                  <c:v>7.4999999999999991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8.2999999999999989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8.7000000000000011</c:v>
                </c:pt>
                <c:pt idx="87">
                  <c:v>8.8000000000000007</c:v>
                </c:pt>
                <c:pt idx="88">
                  <c:v>8.9000000000000021</c:v>
                </c:pt>
                <c:pt idx="89">
                  <c:v>9.0000000000000018</c:v>
                </c:pt>
                <c:pt idx="90">
                  <c:v>9.1000000000000014</c:v>
                </c:pt>
                <c:pt idx="91">
                  <c:v>9.1999999999999993</c:v>
                </c:pt>
                <c:pt idx="92">
                  <c:v>9.2999999999999989</c:v>
                </c:pt>
                <c:pt idx="93">
                  <c:v>9.3999999999999986</c:v>
                </c:pt>
                <c:pt idx="94">
                  <c:v>9.4999999999999982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10.200000000000001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10.700000000000001</c:v>
                </c:pt>
                <c:pt idx="107">
                  <c:v>10.8</c:v>
                </c:pt>
                <c:pt idx="108">
                  <c:v>10.9</c:v>
                </c:pt>
                <c:pt idx="109">
                  <c:v>11.000000000000002</c:v>
                </c:pt>
                <c:pt idx="110">
                  <c:v>11.100000000000001</c:v>
                </c:pt>
                <c:pt idx="111">
                  <c:v>11.200000000000001</c:v>
                </c:pt>
                <c:pt idx="112">
                  <c:v>11.299999999999997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11.799999999999999</c:v>
                </c:pt>
                <c:pt idx="118">
                  <c:v>11.899999999999999</c:v>
                </c:pt>
                <c:pt idx="119">
                  <c:v>11.999999999999998</c:v>
                </c:pt>
                <c:pt idx="120">
                  <c:v>12.100000000000001</c:v>
                </c:pt>
                <c:pt idx="121">
                  <c:v>12.2</c:v>
                </c:pt>
                <c:pt idx="122">
                  <c:v>12.3</c:v>
                </c:pt>
                <c:pt idx="123">
                  <c:v>12.399999999999999</c:v>
                </c:pt>
                <c:pt idx="124">
                  <c:v>12.5</c:v>
                </c:pt>
                <c:pt idx="125">
                  <c:v>12.599999999999998</c:v>
                </c:pt>
                <c:pt idx="126">
                  <c:v>12.700000000000001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13.100000000000001</c:v>
                </c:pt>
                <c:pt idx="131">
                  <c:v>13.2</c:v>
                </c:pt>
                <c:pt idx="132">
                  <c:v>13.3</c:v>
                </c:pt>
                <c:pt idx="133">
                  <c:v>13.400000000000002</c:v>
                </c:pt>
                <c:pt idx="134">
                  <c:v>13.5</c:v>
                </c:pt>
                <c:pt idx="135">
                  <c:v>13.600000000000001</c:v>
                </c:pt>
                <c:pt idx="136">
                  <c:v>13.7</c:v>
                </c:pt>
                <c:pt idx="137">
                  <c:v>13.799999999999999</c:v>
                </c:pt>
                <c:pt idx="138">
                  <c:v>13.899999999999997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14.299999999999999</c:v>
                </c:pt>
                <c:pt idx="143">
                  <c:v>14.4</c:v>
                </c:pt>
                <c:pt idx="144">
                  <c:v>14.5</c:v>
                </c:pt>
                <c:pt idx="145">
                  <c:v>14.600000000000001</c:v>
                </c:pt>
                <c:pt idx="146">
                  <c:v>14.7</c:v>
                </c:pt>
                <c:pt idx="147">
                  <c:v>14.8</c:v>
                </c:pt>
                <c:pt idx="148">
                  <c:v>14.899999999999999</c:v>
                </c:pt>
                <c:pt idx="149">
                  <c:v>14.999999999999998</c:v>
                </c:pt>
                <c:pt idx="150">
                  <c:v>15.100000000000001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15.700000000000003</c:v>
                </c:pt>
                <c:pt idx="157">
                  <c:v>15.8</c:v>
                </c:pt>
                <c:pt idx="158">
                  <c:v>15.900000000000002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16.599999999999998</c:v>
                </c:pt>
                <c:pt idx="166">
                  <c:v>16.700000000000003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17.099999999999998</c:v>
                </c:pt>
                <c:pt idx="171">
                  <c:v>17.2</c:v>
                </c:pt>
                <c:pt idx="172">
                  <c:v>17.3</c:v>
                </c:pt>
                <c:pt idx="173">
                  <c:v>17.400000000000002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17.800000000000004</c:v>
                </c:pt>
                <c:pt idx="178">
                  <c:v>17.900000000000002</c:v>
                </c:pt>
                <c:pt idx="179">
                  <c:v>18.000000000000004</c:v>
                </c:pt>
                <c:pt idx="180">
                  <c:v>18.100000000000001</c:v>
                </c:pt>
                <c:pt idx="181">
                  <c:v>18.200000000000003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18.599999999999998</c:v>
                </c:pt>
                <c:pt idx="186">
                  <c:v>18.7</c:v>
                </c:pt>
                <c:pt idx="187">
                  <c:v>18.799999999999997</c:v>
                </c:pt>
                <c:pt idx="188">
                  <c:v>18.899999999999999</c:v>
                </c:pt>
                <c:pt idx="189">
                  <c:v>18.999999999999996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2A-48A5-B95E-B956247776B0}"/>
            </c:ext>
          </c:extLst>
        </c:ser>
        <c:ser>
          <c:idx val="4"/>
          <c:order val="4"/>
          <c:tx>
            <c:strRef>
              <c:f>Sheet1!$N$6</c:f>
              <c:strCache>
                <c:ptCount val="1"/>
                <c:pt idx="0">
                  <c:v>RMS Capacitor Current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Sheet1!$N$7:$N$206</c:f>
              <c:numCache>
                <c:formatCode>0.00E+00</c:formatCode>
                <c:ptCount val="200"/>
                <c:pt idx="0">
                  <c:v>1.4106725663053421</c:v>
                </c:pt>
                <c:pt idx="1">
                  <c:v>1.989969082183942</c:v>
                </c:pt>
                <c:pt idx="2">
                  <c:v>2.4310333160077215</c:v>
                </c:pt>
                <c:pt idx="3">
                  <c:v>2.7999677303740489</c:v>
                </c:pt>
                <c:pt idx="4">
                  <c:v>3.1224430571769437</c:v>
                </c:pt>
                <c:pt idx="5">
                  <c:v>3.4116568542079366</c:v>
                </c:pt>
                <c:pt idx="6">
                  <c:v>3.6754674442967796</c:v>
                </c:pt>
                <c:pt idx="7">
                  <c:v>3.9190066003965849</c:v>
                </c:pt>
                <c:pt idx="8">
                  <c:v>4.1458467522688895</c:v>
                </c:pt>
                <c:pt idx="9">
                  <c:v>4.3585945727952256</c:v>
                </c:pt>
                <c:pt idx="10">
                  <c:v>4.5592220244413966</c:v>
                </c:pt>
                <c:pt idx="11">
                  <c:v>4.7492642618881513</c:v>
                </c:pt>
                <c:pt idx="12">
                  <c:v>4.9299445456682873</c:v>
                </c:pt>
                <c:pt idx="13">
                  <c:v>5.1022566125525293</c:v>
                </c:pt>
                <c:pt idx="14">
                  <c:v>5.2670209854278625</c:v>
                </c:pt>
                <c:pt idx="15">
                  <c:v>5.4249246490678553</c:v>
                </c:pt>
                <c:pt idx="16">
                  <c:v>5.5765497341914294</c:v>
                </c:pt>
                <c:pt idx="17">
                  <c:v>5.7223947199710015</c:v>
                </c:pt>
                <c:pt idx="18">
                  <c:v>5.8628904120854504</c:v>
                </c:pt>
                <c:pt idx="19">
                  <c:v>5.9984121899049248</c:v>
                </c:pt>
                <c:pt idx="20">
                  <c:v>6.1292895363146691</c:v>
                </c:pt>
                <c:pt idx="21">
                  <c:v>6.2558135533636241</c:v>
                </c:pt>
                <c:pt idx="22">
                  <c:v>6.3782429613640064</c:v>
                </c:pt>
                <c:pt idx="23">
                  <c:v>6.4968089398978019</c:v>
                </c:pt>
                <c:pt idx="24">
                  <c:v>6.6117190730975937</c:v>
                </c:pt>
                <c:pt idx="25">
                  <c:v>6.7231605940408699</c:v>
                </c:pt>
                <c:pt idx="26">
                  <c:v>6.8313030748705259</c:v>
                </c:pt>
                <c:pt idx="27">
                  <c:v>6.9363006743041353</c:v>
                </c:pt>
                <c:pt idx="28">
                  <c:v>7.0382940285234259</c:v>
                </c:pt>
                <c:pt idx="29">
                  <c:v>7.137411852345358</c:v>
                </c:pt>
                <c:pt idx="30">
                  <c:v>7.2337723032178376</c:v>
                </c:pt>
                <c:pt idx="31">
                  <c:v>7.3274841496688348</c:v>
                </c:pt>
                <c:pt idx="32">
                  <c:v>7.4186477774601549</c:v>
                </c:pt>
                <c:pt idx="33">
                  <c:v>7.5073560602076155</c:v>
                </c:pt>
                <c:pt idx="34">
                  <c:v>7.5936951161596884</c:v>
                </c:pt>
                <c:pt idx="35">
                  <c:v>7.6777449688345332</c:v>
                </c:pt>
                <c:pt idx="36">
                  <c:v>7.7595801260480908</c:v>
                </c:pt>
                <c:pt idx="37">
                  <c:v>7.8392700893356135</c:v>
                </c:pt>
                <c:pt idx="38">
                  <c:v>7.9168798037341386</c:v>
                </c:pt>
                <c:pt idx="39">
                  <c:v>7.9924700562466926</c:v>
                </c:pt>
                <c:pt idx="40">
                  <c:v>8.0660978299687454</c:v>
                </c:pt>
                <c:pt idx="41">
                  <c:v>8.1378166197603647</c:v>
                </c:pt>
                <c:pt idx="42">
                  <c:v>8.2076767144448066</c:v>
                </c:pt>
                <c:pt idx="43">
                  <c:v>8.2757254497678936</c:v>
                </c:pt>
                <c:pt idx="44">
                  <c:v>8.3420074357322722</c:v>
                </c:pt>
                <c:pt idx="45">
                  <c:v>8.4065647614030787</c:v>
                </c:pt>
                <c:pt idx="46">
                  <c:v>8.4694371798476364</c:v>
                </c:pt>
                <c:pt idx="47">
                  <c:v>8.5306622755066321</c:v>
                </c:pt>
                <c:pt idx="48">
                  <c:v>8.5902756159856999</c:v>
                </c:pt>
                <c:pt idx="49">
                  <c:v>8.6483108899946473</c:v>
                </c:pt>
                <c:pt idx="50">
                  <c:v>8.7048000329388096</c:v>
                </c:pt>
                <c:pt idx="51">
                  <c:v>8.7597733414768211</c:v>
                </c:pt>
                <c:pt idx="52">
                  <c:v>8.813259578196055</c:v>
                </c:pt>
                <c:pt idx="53">
                  <c:v>8.8652860674168892</c:v>
                </c:pt>
                <c:pt idx="54">
                  <c:v>8.915878783016149</c:v>
                </c:pt>
                <c:pt idx="55">
                  <c:v>8.9650624290555836</c:v>
                </c:pt>
                <c:pt idx="56">
                  <c:v>9.0128605139106917</c:v>
                </c:pt>
                <c:pt idx="57">
                  <c:v>9.0592954185163865</c:v>
                </c:pt>
                <c:pt idx="58">
                  <c:v>9.1043884592774003</c:v>
                </c:pt>
                <c:pt idx="59">
                  <c:v>9.1481599461312442</c:v>
                </c:pt>
                <c:pt idx="60">
                  <c:v>9.1906292361990367</c:v>
                </c:pt>
                <c:pt idx="61">
                  <c:v>9.2318147834132809</c:v>
                </c:pt>
                <c:pt idx="62">
                  <c:v>9.2717341844710734</c:v>
                </c:pt>
                <c:pt idx="63">
                  <c:v>9.3104042214254044</c:v>
                </c:pt>
                <c:pt idx="64">
                  <c:v>9.3478409011954469</c:v>
                </c:pt>
                <c:pt idx="65">
                  <c:v>9.3840594922487561</c:v>
                </c:pt>
                <c:pt idx="66">
                  <c:v>9.4190745586833273</c:v>
                </c:pt>
                <c:pt idx="67">
                  <c:v>9.4528999919152845</c:v>
                </c:pt>
                <c:pt idx="68">
                  <c:v>9.4855490401583253</c:v>
                </c:pt>
                <c:pt idx="69">
                  <c:v>9.5170343358632472</c:v>
                </c:pt>
                <c:pt idx="70">
                  <c:v>9.5473679212703164</c:v>
                </c:pt>
                <c:pt idx="71">
                  <c:v>9.5765612722129028</c:v>
                </c:pt>
                <c:pt idx="72">
                  <c:v>9.604625320298263</c:v>
                </c:pt>
                <c:pt idx="73">
                  <c:v>9.6315704735798935</c:v>
                </c:pt>
                <c:pt idx="74">
                  <c:v>9.6574066358255575</c:v>
                </c:pt>
                <c:pt idx="75">
                  <c:v>9.6821432244758707</c:v>
                </c:pt>
                <c:pt idx="76">
                  <c:v>9.7057891873798976</c:v>
                </c:pt>
                <c:pt idx="77">
                  <c:v>9.7283530183866151</c:v>
                </c:pt>
                <c:pt idx="78">
                  <c:v>9.7498427718642464</c:v>
                </c:pt>
                <c:pt idx="79">
                  <c:v>9.7702660762130726</c:v>
                </c:pt>
                <c:pt idx="80">
                  <c:v>9.7896301464318096</c:v>
                </c:pt>
                <c:pt idx="81">
                  <c:v>9.8079417957922246</c:v>
                </c:pt>
                <c:pt idx="82">
                  <c:v>9.8252074466720281</c:v>
                </c:pt>
                <c:pt idx="83">
                  <c:v>9.8414331405916684</c:v>
                </c:pt>
                <c:pt idx="84">
                  <c:v>9.8566245474965974</c:v>
                </c:pt>
                <c:pt idx="85">
                  <c:v>9.8707869743229697</c:v>
                </c:pt>
                <c:pt idx="86">
                  <c:v>9.8839253728812384</c:v>
                </c:pt>
                <c:pt idx="87">
                  <c:v>9.8960443470889938</c:v>
                </c:pt>
                <c:pt idx="88">
                  <c:v>9.9071481595814692</c:v>
                </c:pt>
                <c:pt idx="89">
                  <c:v>9.9172407377253879</c:v>
                </c:pt>
                <c:pt idx="90">
                  <c:v>9.9263256790592713</c:v>
                </c:pt>
                <c:pt idx="91">
                  <c:v>9.934406256180992</c:v>
                </c:pt>
                <c:pt idx="92">
                  <c:v>9.9414854211010386</c:v>
                </c:pt>
                <c:pt idx="93">
                  <c:v>9.9475658090779167</c:v>
                </c:pt>
                <c:pt idx="94">
                  <c:v>9.9526497419500046</c:v>
                </c:pt>
                <c:pt idx="95">
                  <c:v>9.9567392309763747</c:v>
                </c:pt>
                <c:pt idx="96">
                  <c:v>9.9598359791971731</c:v>
                </c:pt>
                <c:pt idx="97">
                  <c:v>9.9619413833224293</c:v>
                </c:pt>
                <c:pt idx="98">
                  <c:v>9.9630565351564435</c:v>
                </c:pt>
                <c:pt idx="99">
                  <c:v>9.9631822225632298</c:v>
                </c:pt>
                <c:pt idx="100">
                  <c:v>9.9623189299769219</c:v>
                </c:pt>
                <c:pt idx="101">
                  <c:v>9.9604668384593289</c:v>
                </c:pt>
                <c:pt idx="102">
                  <c:v>9.9576258253054242</c:v>
                </c:pt>
                <c:pt idx="103">
                  <c:v>9.9537954631957355</c:v>
                </c:pt>
                <c:pt idx="104">
                  <c:v>9.9489750188932771</c:v>
                </c:pt>
                <c:pt idx="105">
                  <c:v>9.9431634514808227</c:v>
                </c:pt>
                <c:pt idx="106">
                  <c:v>9.9363594101328427</c:v>
                </c:pt>
                <c:pt idx="107">
                  <c:v>9.9285612314147524</c:v>
                </c:pt>
                <c:pt idx="108">
                  <c:v>9.919766936100288</c:v>
                </c:pt>
                <c:pt idx="109">
                  <c:v>9.9099742254962493</c:v>
                </c:pt>
                <c:pt idx="110">
                  <c:v>9.899180477261817</c:v>
                </c:pt>
                <c:pt idx="111">
                  <c:v>9.8873827407078778</c:v>
                </c:pt>
                <c:pt idx="112">
                  <c:v>9.8745777315596897</c:v>
                </c:pt>
                <c:pt idx="113">
                  <c:v>9.8607618261641434</c:v>
                </c:pt>
                <c:pt idx="114">
                  <c:v>9.8459310551205625</c:v>
                </c:pt>
                <c:pt idx="115">
                  <c:v>9.8300810963116678</c:v>
                </c:pt>
                <c:pt idx="116">
                  <c:v>9.8132072673087105</c:v>
                </c:pt>
                <c:pt idx="117">
                  <c:v>9.7953045171220676</c:v>
                </c:pt>
                <c:pt idx="118">
                  <c:v>9.7763674172656518</c:v>
                </c:pt>
                <c:pt idx="119">
                  <c:v>9.7563901521003142</c:v>
                </c:pt>
                <c:pt idx="120">
                  <c:v>9.7353665084179806</c:v>
                </c:pt>
                <c:pt idx="121">
                  <c:v>9.7132898642245813</c:v>
                </c:pt>
                <c:pt idx="122">
                  <c:v>9.6901531766757696</c:v>
                </c:pt>
                <c:pt idx="123">
                  <c:v>9.6659489691150338</c:v>
                </c:pt>
                <c:pt idx="124">
                  <c:v>9.6406693171590785</c:v>
                </c:pt>
                <c:pt idx="125">
                  <c:v>9.6143058337700076</c:v>
                </c:pt>
                <c:pt idx="126">
                  <c:v>9.586849653248219</c:v>
                </c:pt>
                <c:pt idx="127">
                  <c:v>9.5582914140735422</c:v>
                </c:pt>
                <c:pt idx="128">
                  <c:v>9.5286212405152551</c:v>
                </c:pt>
                <c:pt idx="129">
                  <c:v>9.4978287229239911</c:v>
                </c:pt>
                <c:pt idx="130">
                  <c:v>9.4659028966101015</c:v>
                </c:pt>
                <c:pt idx="131">
                  <c:v>9.4328322192037319</c:v>
                </c:pt>
                <c:pt idx="132">
                  <c:v>9.3986045463815788</c:v>
                </c:pt>
                <c:pt idx="133">
                  <c:v>9.3632071058337694</c:v>
                </c:pt>
                <c:pt idx="134">
                  <c:v>9.3266264693316359</c:v>
                </c:pt>
                <c:pt idx="135">
                  <c:v>9.2888485227429562</c:v>
                </c:pt>
                <c:pt idx="136">
                  <c:v>9.2498584338253789</c:v>
                </c:pt>
                <c:pt idx="137">
                  <c:v>9.2096406176110914</c:v>
                </c:pt>
                <c:pt idx="138">
                  <c:v>9.1681786991759449</c:v>
                </c:pt>
                <c:pt idx="139">
                  <c:v>9.1254554735640454</c:v>
                </c:pt>
                <c:pt idx="140">
                  <c:v>9.0814528626138067</c:v>
                </c:pt>
                <c:pt idx="141">
                  <c:v>9.0361518684032749</c:v>
                </c:pt>
                <c:pt idx="142">
                  <c:v>8.9895325230008218</c:v>
                </c:pt>
                <c:pt idx="143">
                  <c:v>8.941573834171253</c:v>
                </c:pt>
                <c:pt idx="144">
                  <c:v>8.8922537266467216</c:v>
                </c:pt>
                <c:pt idx="145">
                  <c:v>8.8415489785254273</c:v>
                </c:pt>
                <c:pt idx="146">
                  <c:v>8.7894351523084513</c:v>
                </c:pt>
                <c:pt idx="147">
                  <c:v>8.7358865200248559</c:v>
                </c:pt>
                <c:pt idx="148">
                  <c:v>8.6808759818262864</c:v>
                </c:pt>
                <c:pt idx="149">
                  <c:v>8.6243749773534315</c:v>
                </c:pt>
                <c:pt idx="150">
                  <c:v>8.5663533890857853</c:v>
                </c:pt>
                <c:pt idx="151">
                  <c:v>8.506779436781466</c:v>
                </c:pt>
                <c:pt idx="152">
                  <c:v>8.4456195619927428</c:v>
                </c:pt>
                <c:pt idx="153">
                  <c:v>8.3828383015024226</c:v>
                </c:pt>
                <c:pt idx="154">
                  <c:v>8.3183981483629115</c:v>
                </c:pt>
                <c:pt idx="155">
                  <c:v>8.2522593990290911</c:v>
                </c:pt>
                <c:pt idx="156">
                  <c:v>8.1843799848528835</c:v>
                </c:pt>
                <c:pt idx="157">
                  <c:v>8.1147152859451577</c:v>
                </c:pt>
                <c:pt idx="158">
                  <c:v>8.0432179251014642</c:v>
                </c:pt>
                <c:pt idx="159">
                  <c:v>7.9698375391221106</c:v>
                </c:pt>
                <c:pt idx="160">
                  <c:v>7.8945205244223979</c:v>
                </c:pt>
                <c:pt idx="161">
                  <c:v>7.8172097533101912</c:v>
                </c:pt>
                <c:pt idx="162">
                  <c:v>7.7378442566867109</c:v>
                </c:pt>
                <c:pt idx="163">
                  <c:v>7.65635886817853</c:v>
                </c:pt>
                <c:pt idx="164">
                  <c:v>7.5726838238046428</c:v>
                </c:pt>
                <c:pt idx="165">
                  <c:v>7.4867443101834334</c:v>
                </c:pt>
                <c:pt idx="166">
                  <c:v>7.3984599529419306</c:v>
                </c:pt>
                <c:pt idx="167">
                  <c:v>7.3077442353404791</c:v>
                </c:pt>
                <c:pt idx="168">
                  <c:v>7.2145038350879336</c:v>
                </c:pt>
                <c:pt idx="169">
                  <c:v>7.1186378647884601</c:v>
                </c:pt>
                <c:pt idx="170">
                  <c:v>7.0200369982893616</c:v>
                </c:pt>
                <c:pt idx="171">
                  <c:v>6.9185824612017166</c:v>
                </c:pt>
                <c:pt idx="172">
                  <c:v>6.8141448587892892</c:v>
                </c:pt>
                <c:pt idx="173">
                  <c:v>6.7065828079235699</c:v>
                </c:pt>
                <c:pt idx="174">
                  <c:v>6.5957413314151054</c:v>
                </c:pt>
                <c:pt idx="175">
                  <c:v>6.4814499621044677</c:v>
                </c:pt>
                <c:pt idx="176">
                  <c:v>6.3635204897219033</c:v>
                </c:pt>
                <c:pt idx="177">
                  <c:v>6.2417442644145549</c:v>
                </c:pt>
                <c:pt idx="178">
                  <c:v>6.1158889451430927</c:v>
                </c:pt>
                <c:pt idx="179">
                  <c:v>5.9856945461658828</c:v>
                </c:pt>
                <c:pt idx="180">
                  <c:v>5.8508685865584518</c:v>
                </c:pt>
                <c:pt idx="181">
                  <c:v>5.7110800801291512</c:v>
                </c:pt>
                <c:pt idx="182">
                  <c:v>5.5659520069247348</c:v>
                </c:pt>
                <c:pt idx="183">
                  <c:v>5.4150517682415549</c:v>
                </c:pt>
                <c:pt idx="184">
                  <c:v>5.2578789213486532</c:v>
                </c:pt>
                <c:pt idx="185">
                  <c:v>5.0938491795953267</c:v>
                </c:pt>
                <c:pt idx="186">
                  <c:v>4.9222731831883815</c:v>
                </c:pt>
                <c:pt idx="187">
                  <c:v>4.742327781960249</c:v>
                </c:pt>
                <c:pt idx="188">
                  <c:v>4.553016317689683</c:v>
                </c:pt>
                <c:pt idx="189">
                  <c:v>4.3531122602110797</c:v>
                </c:pt>
                <c:pt idx="190">
                  <c:v>4.1410767657701681</c:v>
                </c:pt>
                <c:pt idx="191">
                  <c:v>3.9149336667238712</c:v>
                </c:pt>
                <c:pt idx="192">
                  <c:v>3.6720714332940898</c:v>
                </c:pt>
                <c:pt idx="193">
                  <c:v>3.4089119287444212</c:v>
                </c:pt>
                <c:pt idx="194">
                  <c:v>3.1203165171481415</c:v>
                </c:pt>
                <c:pt idx="195">
                  <c:v>2.7984183507231379</c:v>
                </c:pt>
                <c:pt idx="196">
                  <c:v>2.4300087624863633</c:v>
                </c:pt>
                <c:pt idx="197">
                  <c:v>1.9894013815095242</c:v>
                </c:pt>
                <c:pt idx="198">
                  <c:v>1.410468282512408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CA-44B3-9100-F7545809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726256"/>
        <c:axId val="815726736"/>
      </c:scatterChart>
      <c:valAx>
        <c:axId val="815726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26736"/>
        <c:crosses val="autoZero"/>
        <c:crossBetween val="midCat"/>
      </c:valAx>
      <c:valAx>
        <c:axId val="8157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2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26825816115983"/>
          <c:y val="0.42771928449335678"/>
          <c:w val="0.16371020929226937"/>
          <c:h val="0.183401934126465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Contributed by Capacitors</a:t>
            </a:r>
          </a:p>
        </c:rich>
      </c:tx>
      <c:layout>
        <c:manualLayout>
          <c:xMode val="edge"/>
          <c:yMode val="edge"/>
          <c:x val="0.324167144054675"/>
          <c:y val="3.0879473336128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Sheet1!$A$7:$A$206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</c:numCache>
            </c:numRef>
          </c:xVal>
          <c:yVal>
            <c:numRef>
              <c:f>Sheet1!$L$7:$L$206</c:f>
              <c:numCache>
                <c:formatCode>0.00E+00</c:formatCode>
                <c:ptCount val="200"/>
                <c:pt idx="0">
                  <c:v>7.9633857932799972E-5</c:v>
                </c:pt>
                <c:pt idx="1">
                  <c:v>1.584673755848683E-4</c:v>
                </c:pt>
                <c:pt idx="2">
                  <c:v>2.3650055295620492E-4</c:v>
                </c:pt>
                <c:pt idx="3">
                  <c:v>3.1373339004680997E-4</c:v>
                </c:pt>
                <c:pt idx="4">
                  <c:v>3.9016588685668329E-4</c:v>
                </c:pt>
                <c:pt idx="5">
                  <c:v>4.6579804338582495E-4</c:v>
                </c:pt>
                <c:pt idx="6">
                  <c:v>5.4062985963423504E-4</c:v>
                </c:pt>
                <c:pt idx="7">
                  <c:v>6.1466133560191341E-4</c:v>
                </c:pt>
                <c:pt idx="8">
                  <c:v>6.878924712888601E-4</c:v>
                </c:pt>
                <c:pt idx="9">
                  <c:v>7.6032326669507524E-4</c:v>
                </c:pt>
                <c:pt idx="10">
                  <c:v>8.319537218205587E-4</c:v>
                </c:pt>
                <c:pt idx="11">
                  <c:v>9.0278383666531016E-4</c:v>
                </c:pt>
                <c:pt idx="12">
                  <c:v>9.7281361122933039E-4</c:v>
                </c:pt>
                <c:pt idx="13">
                  <c:v>1.0420430455126187E-3</c:v>
                </c:pt>
                <c:pt idx="14">
                  <c:v>1.1104721395151754E-3</c:v>
                </c:pt>
                <c:pt idx="15">
                  <c:v>1.1781008932370007E-3</c:v>
                </c:pt>
                <c:pt idx="16">
                  <c:v>1.244929306678094E-3</c:v>
                </c:pt>
                <c:pt idx="17">
                  <c:v>1.3109573798384562E-3</c:v>
                </c:pt>
                <c:pt idx="18">
                  <c:v>1.376185112718086E-3</c:v>
                </c:pt>
                <c:pt idx="19">
                  <c:v>1.4406125053169844E-3</c:v>
                </c:pt>
                <c:pt idx="20">
                  <c:v>1.5042395576351513E-3</c:v>
                </c:pt>
                <c:pt idx="21">
                  <c:v>1.5670662696725868E-3</c:v>
                </c:pt>
                <c:pt idx="22">
                  <c:v>1.6290926414292898E-3</c:v>
                </c:pt>
                <c:pt idx="23">
                  <c:v>1.6903186729052618E-3</c:v>
                </c:pt>
                <c:pt idx="24">
                  <c:v>1.7507443641005017E-3</c:v>
                </c:pt>
                <c:pt idx="25">
                  <c:v>1.8103697150150103E-3</c:v>
                </c:pt>
                <c:pt idx="26">
                  <c:v>1.8691947256487876E-3</c:v>
                </c:pt>
                <c:pt idx="27">
                  <c:v>1.9272193960018329E-3</c:v>
                </c:pt>
                <c:pt idx="28">
                  <c:v>1.9844437260741459E-3</c:v>
                </c:pt>
                <c:pt idx="29">
                  <c:v>2.0408677158657278E-3</c:v>
                </c:pt>
                <c:pt idx="30">
                  <c:v>2.0964913653765782E-3</c:v>
                </c:pt>
                <c:pt idx="31">
                  <c:v>2.151314674606697E-3</c:v>
                </c:pt>
                <c:pt idx="32">
                  <c:v>2.2053376435560838E-3</c:v>
                </c:pt>
                <c:pt idx="33">
                  <c:v>2.258560272224739E-3</c:v>
                </c:pt>
                <c:pt idx="34">
                  <c:v>2.3109825606126627E-3</c:v>
                </c:pt>
                <c:pt idx="35">
                  <c:v>2.3626045087198548E-3</c:v>
                </c:pt>
                <c:pt idx="36">
                  <c:v>2.4134261165463149E-3</c:v>
                </c:pt>
                <c:pt idx="37">
                  <c:v>2.4634473840920434E-3</c:v>
                </c:pt>
                <c:pt idx="38">
                  <c:v>2.5126683113570404E-3</c:v>
                </c:pt>
                <c:pt idx="39">
                  <c:v>2.5610888983413059E-3</c:v>
                </c:pt>
                <c:pt idx="40">
                  <c:v>2.6087091450448397E-3</c:v>
                </c:pt>
                <c:pt idx="41">
                  <c:v>2.6555290514676411E-3</c:v>
                </c:pt>
                <c:pt idx="42">
                  <c:v>2.7015486176097114E-3</c:v>
                </c:pt>
                <c:pt idx="43">
                  <c:v>2.7467678434710506E-3</c:v>
                </c:pt>
                <c:pt idx="44">
                  <c:v>2.7911867290516578E-3</c:v>
                </c:pt>
                <c:pt idx="45">
                  <c:v>2.8348052743515325E-3</c:v>
                </c:pt>
                <c:pt idx="46">
                  <c:v>2.8776234793706766E-3</c:v>
                </c:pt>
                <c:pt idx="47">
                  <c:v>2.9196413441090882E-3</c:v>
                </c:pt>
                <c:pt idx="48">
                  <c:v>2.9608588685667691E-3</c:v>
                </c:pt>
                <c:pt idx="49">
                  <c:v>3.0012760527437176E-3</c:v>
                </c:pt>
                <c:pt idx="50">
                  <c:v>3.0408928966399341E-3</c:v>
                </c:pt>
                <c:pt idx="51">
                  <c:v>3.0797094002554194E-3</c:v>
                </c:pt>
                <c:pt idx="52">
                  <c:v>3.1177255635901741E-3</c:v>
                </c:pt>
                <c:pt idx="53">
                  <c:v>3.1549413866441959E-3</c:v>
                </c:pt>
                <c:pt idx="54">
                  <c:v>3.191356869417487E-3</c:v>
                </c:pt>
                <c:pt idx="55">
                  <c:v>3.2269720119100453E-3</c:v>
                </c:pt>
                <c:pt idx="56">
                  <c:v>3.2617868141218719E-3</c:v>
                </c:pt>
                <c:pt idx="57">
                  <c:v>3.2958012760529671E-3</c:v>
                </c:pt>
                <c:pt idx="58">
                  <c:v>3.3290153977033315E-3</c:v>
                </c:pt>
                <c:pt idx="59">
                  <c:v>3.3614291790729635E-3</c:v>
                </c:pt>
                <c:pt idx="60">
                  <c:v>3.3930426201618635E-3</c:v>
                </c:pt>
                <c:pt idx="61">
                  <c:v>3.4238557209700323E-3</c:v>
                </c:pt>
                <c:pt idx="62">
                  <c:v>3.4538684814974701E-3</c:v>
                </c:pt>
                <c:pt idx="63">
                  <c:v>3.4830809017441762E-3</c:v>
                </c:pt>
                <c:pt idx="64">
                  <c:v>3.5114929817101495E-3</c:v>
                </c:pt>
                <c:pt idx="65">
                  <c:v>3.5391047213953917E-3</c:v>
                </c:pt>
                <c:pt idx="66">
                  <c:v>3.5659161207999032E-3</c:v>
                </c:pt>
                <c:pt idx="67">
                  <c:v>3.5919271799236814E-3</c:v>
                </c:pt>
                <c:pt idx="68">
                  <c:v>3.6171378987667284E-3</c:v>
                </c:pt>
                <c:pt idx="69">
                  <c:v>3.6415482773290444E-3</c:v>
                </c:pt>
                <c:pt idx="70">
                  <c:v>3.665158315610627E-3</c:v>
                </c:pt>
                <c:pt idx="71">
                  <c:v>3.6879680136114811E-3</c:v>
                </c:pt>
                <c:pt idx="72">
                  <c:v>3.709977371331601E-3</c:v>
                </c:pt>
                <c:pt idx="73">
                  <c:v>3.7311863887709898E-3</c:v>
                </c:pt>
                <c:pt idx="74">
                  <c:v>3.7515950659296471E-3</c:v>
                </c:pt>
                <c:pt idx="75">
                  <c:v>3.7712034028075723E-3</c:v>
                </c:pt>
                <c:pt idx="76">
                  <c:v>3.790011399404766E-3</c:v>
                </c:pt>
                <c:pt idx="77">
                  <c:v>3.808019055721229E-3</c:v>
                </c:pt>
                <c:pt idx="78">
                  <c:v>3.8252263717569587E-3</c:v>
                </c:pt>
                <c:pt idx="79">
                  <c:v>3.841633347511959E-3</c:v>
                </c:pt>
                <c:pt idx="80">
                  <c:v>3.8572399829862247E-3</c:v>
                </c:pt>
                <c:pt idx="81">
                  <c:v>3.8720462781797619E-3</c:v>
                </c:pt>
                <c:pt idx="82">
                  <c:v>3.8860522330925662E-3</c:v>
                </c:pt>
                <c:pt idx="83">
                  <c:v>3.8992578477246376E-3</c:v>
                </c:pt>
                <c:pt idx="84">
                  <c:v>3.9116631220759788E-3</c:v>
                </c:pt>
                <c:pt idx="85">
                  <c:v>3.9232680561465871E-3</c:v>
                </c:pt>
                <c:pt idx="86">
                  <c:v>3.9340726499364643E-3</c:v>
                </c:pt>
                <c:pt idx="87">
                  <c:v>3.9440769034456112E-3</c:v>
                </c:pt>
                <c:pt idx="88">
                  <c:v>3.9532808166740253E-3</c:v>
                </c:pt>
                <c:pt idx="89">
                  <c:v>3.9616843896217082E-3</c:v>
                </c:pt>
                <c:pt idx="90">
                  <c:v>3.9692876222886583E-3</c:v>
                </c:pt>
                <c:pt idx="91">
                  <c:v>3.9760905146748772E-3</c:v>
                </c:pt>
                <c:pt idx="92">
                  <c:v>3.9820930667803633E-3</c:v>
                </c:pt>
                <c:pt idx="93">
                  <c:v>3.98729527860512E-3</c:v>
                </c:pt>
                <c:pt idx="94">
                  <c:v>3.9916971501491446E-3</c:v>
                </c:pt>
                <c:pt idx="95">
                  <c:v>3.9952986814124373E-3</c:v>
                </c:pt>
                <c:pt idx="96">
                  <c:v>3.9980998723949971E-3</c:v>
                </c:pt>
                <c:pt idx="97">
                  <c:v>4.0001007230968267E-3</c:v>
                </c:pt>
                <c:pt idx="98">
                  <c:v>4.0013012335179251E-3</c:v>
                </c:pt>
                <c:pt idx="99">
                  <c:v>4.0017014036582898E-3</c:v>
                </c:pt>
                <c:pt idx="100">
                  <c:v>4.0013012335179251E-3</c:v>
                </c:pt>
                <c:pt idx="101">
                  <c:v>4.0001007230968267E-3</c:v>
                </c:pt>
                <c:pt idx="102">
                  <c:v>3.998099872394998E-3</c:v>
                </c:pt>
                <c:pt idx="103">
                  <c:v>3.9952986814124365E-3</c:v>
                </c:pt>
                <c:pt idx="104">
                  <c:v>3.9916971501491446E-3</c:v>
                </c:pt>
                <c:pt idx="105">
                  <c:v>3.9872952786051208E-3</c:v>
                </c:pt>
                <c:pt idx="106">
                  <c:v>3.9820930667803641E-3</c:v>
                </c:pt>
                <c:pt idx="107">
                  <c:v>3.9760905146748781E-3</c:v>
                </c:pt>
                <c:pt idx="108">
                  <c:v>3.9692876222886574E-3</c:v>
                </c:pt>
                <c:pt idx="109">
                  <c:v>3.9616843896217073E-3</c:v>
                </c:pt>
                <c:pt idx="110">
                  <c:v>3.9532808166740253E-3</c:v>
                </c:pt>
                <c:pt idx="111">
                  <c:v>3.9440769034456112E-3</c:v>
                </c:pt>
                <c:pt idx="112">
                  <c:v>3.9340726499364652E-3</c:v>
                </c:pt>
                <c:pt idx="113">
                  <c:v>3.923268056146588E-3</c:v>
                </c:pt>
                <c:pt idx="114">
                  <c:v>3.9116631220759788E-3</c:v>
                </c:pt>
                <c:pt idx="115">
                  <c:v>3.8992578477246376E-3</c:v>
                </c:pt>
                <c:pt idx="116">
                  <c:v>3.8860522330925662E-3</c:v>
                </c:pt>
                <c:pt idx="117">
                  <c:v>3.8720462781797614E-3</c:v>
                </c:pt>
                <c:pt idx="118">
                  <c:v>3.857239982986226E-3</c:v>
                </c:pt>
                <c:pt idx="119">
                  <c:v>3.8416333475119577E-3</c:v>
                </c:pt>
                <c:pt idx="120">
                  <c:v>3.8252263717569596E-3</c:v>
                </c:pt>
                <c:pt idx="121">
                  <c:v>3.8080190557212277E-3</c:v>
                </c:pt>
                <c:pt idx="122">
                  <c:v>3.7900113994047673E-3</c:v>
                </c:pt>
                <c:pt idx="123">
                  <c:v>3.7712034028075715E-3</c:v>
                </c:pt>
                <c:pt idx="124">
                  <c:v>3.7515950659296462E-3</c:v>
                </c:pt>
                <c:pt idx="125">
                  <c:v>3.7311863887709898E-3</c:v>
                </c:pt>
                <c:pt idx="126">
                  <c:v>3.7099773713315997E-3</c:v>
                </c:pt>
                <c:pt idx="127">
                  <c:v>3.6879680136114811E-3</c:v>
                </c:pt>
                <c:pt idx="128">
                  <c:v>3.665158315610627E-3</c:v>
                </c:pt>
                <c:pt idx="129">
                  <c:v>3.6415482773290439E-3</c:v>
                </c:pt>
                <c:pt idx="130">
                  <c:v>3.6171378987667297E-3</c:v>
                </c:pt>
                <c:pt idx="131">
                  <c:v>3.5919271799236814E-3</c:v>
                </c:pt>
                <c:pt idx="132">
                  <c:v>3.5659161207999019E-3</c:v>
                </c:pt>
                <c:pt idx="133">
                  <c:v>3.5391047213953922E-3</c:v>
                </c:pt>
                <c:pt idx="134">
                  <c:v>3.5114929817101482E-3</c:v>
                </c:pt>
                <c:pt idx="135">
                  <c:v>3.4830809017441749E-3</c:v>
                </c:pt>
                <c:pt idx="136">
                  <c:v>3.4538684814974696E-3</c:v>
                </c:pt>
                <c:pt idx="137">
                  <c:v>3.4238557209700336E-3</c:v>
                </c:pt>
                <c:pt idx="138">
                  <c:v>3.3930426201618643E-3</c:v>
                </c:pt>
                <c:pt idx="139">
                  <c:v>3.3614291790729648E-3</c:v>
                </c:pt>
                <c:pt idx="140">
                  <c:v>3.3290153977033319E-3</c:v>
                </c:pt>
                <c:pt idx="141">
                  <c:v>3.2958012760529671E-3</c:v>
                </c:pt>
                <c:pt idx="142">
                  <c:v>3.2617868141218741E-3</c:v>
                </c:pt>
                <c:pt idx="143">
                  <c:v>3.226972011910047E-3</c:v>
                </c:pt>
                <c:pt idx="144">
                  <c:v>3.1913568694174857E-3</c:v>
                </c:pt>
                <c:pt idx="145">
                  <c:v>3.1549413866441972E-3</c:v>
                </c:pt>
                <c:pt idx="146">
                  <c:v>3.1177255635901741E-3</c:v>
                </c:pt>
                <c:pt idx="147">
                  <c:v>3.0797094002554207E-3</c:v>
                </c:pt>
                <c:pt idx="148">
                  <c:v>3.0408928966399341E-3</c:v>
                </c:pt>
                <c:pt idx="149">
                  <c:v>3.0012760527437185E-3</c:v>
                </c:pt>
                <c:pt idx="150">
                  <c:v>2.9608588685667678E-3</c:v>
                </c:pt>
                <c:pt idx="151">
                  <c:v>2.9196413441090882E-3</c:v>
                </c:pt>
                <c:pt idx="152">
                  <c:v>2.8776234793706766E-3</c:v>
                </c:pt>
                <c:pt idx="153">
                  <c:v>2.8348052743515308E-3</c:v>
                </c:pt>
                <c:pt idx="154">
                  <c:v>2.7911867290516578E-3</c:v>
                </c:pt>
                <c:pt idx="155">
                  <c:v>2.7467678434710506E-3</c:v>
                </c:pt>
                <c:pt idx="156">
                  <c:v>2.7015486176097114E-3</c:v>
                </c:pt>
                <c:pt idx="157">
                  <c:v>2.6555290514676394E-3</c:v>
                </c:pt>
                <c:pt idx="158">
                  <c:v>2.6087091450448388E-3</c:v>
                </c:pt>
                <c:pt idx="159">
                  <c:v>2.5610888983413067E-3</c:v>
                </c:pt>
                <c:pt idx="160">
                  <c:v>2.51266831135704E-3</c:v>
                </c:pt>
                <c:pt idx="161">
                  <c:v>2.4634473840920417E-3</c:v>
                </c:pt>
                <c:pt idx="162">
                  <c:v>2.4134261165463149E-3</c:v>
                </c:pt>
                <c:pt idx="163">
                  <c:v>2.3626045087198565E-3</c:v>
                </c:pt>
                <c:pt idx="164">
                  <c:v>2.3109825606126635E-3</c:v>
                </c:pt>
                <c:pt idx="165">
                  <c:v>2.2585602722247403E-3</c:v>
                </c:pt>
                <c:pt idx="166">
                  <c:v>2.2053376435560812E-3</c:v>
                </c:pt>
                <c:pt idx="167">
                  <c:v>2.1513146746066966E-3</c:v>
                </c:pt>
                <c:pt idx="168">
                  <c:v>2.096491365376576E-3</c:v>
                </c:pt>
                <c:pt idx="169">
                  <c:v>2.0408677158657278E-3</c:v>
                </c:pt>
                <c:pt idx="170">
                  <c:v>1.9844437260741485E-3</c:v>
                </c:pt>
                <c:pt idx="171">
                  <c:v>1.9272193960018314E-3</c:v>
                </c:pt>
                <c:pt idx="172">
                  <c:v>1.8691947256487837E-3</c:v>
                </c:pt>
                <c:pt idx="173">
                  <c:v>1.8103697150150077E-3</c:v>
                </c:pt>
                <c:pt idx="174">
                  <c:v>1.7507443641005033E-3</c:v>
                </c:pt>
                <c:pt idx="175">
                  <c:v>1.6903186729052611E-3</c:v>
                </c:pt>
                <c:pt idx="176">
                  <c:v>1.6290926414292883E-3</c:v>
                </c:pt>
                <c:pt idx="177">
                  <c:v>1.5670662696725872E-3</c:v>
                </c:pt>
                <c:pt idx="178">
                  <c:v>1.5042395576351508E-3</c:v>
                </c:pt>
                <c:pt idx="179">
                  <c:v>1.4406125053169859E-3</c:v>
                </c:pt>
                <c:pt idx="180">
                  <c:v>1.3761851127180856E-3</c:v>
                </c:pt>
                <c:pt idx="181">
                  <c:v>1.3109573798384547E-3</c:v>
                </c:pt>
                <c:pt idx="182">
                  <c:v>1.2449293066780932E-3</c:v>
                </c:pt>
                <c:pt idx="183">
                  <c:v>1.1781008932370007E-3</c:v>
                </c:pt>
                <c:pt idx="184">
                  <c:v>1.110472139515173E-3</c:v>
                </c:pt>
                <c:pt idx="185">
                  <c:v>1.042043045512617E-3</c:v>
                </c:pt>
                <c:pt idx="186">
                  <c:v>9.7281361122933039E-4</c:v>
                </c:pt>
                <c:pt idx="187">
                  <c:v>9.0278383666531059E-4</c:v>
                </c:pt>
                <c:pt idx="188">
                  <c:v>8.3195372182056011E-4</c:v>
                </c:pt>
                <c:pt idx="189">
                  <c:v>7.6032326669507664E-4</c:v>
                </c:pt>
                <c:pt idx="190">
                  <c:v>6.878924712888601E-4</c:v>
                </c:pt>
                <c:pt idx="191">
                  <c:v>6.1466133560191525E-4</c:v>
                </c:pt>
                <c:pt idx="192">
                  <c:v>5.4062985963423743E-4</c:v>
                </c:pt>
                <c:pt idx="193">
                  <c:v>4.6579804338582414E-4</c:v>
                </c:pt>
                <c:pt idx="194">
                  <c:v>3.9016588685668248E-4</c:v>
                </c:pt>
                <c:pt idx="195">
                  <c:v>3.1373339004681018E-4</c:v>
                </c:pt>
                <c:pt idx="196">
                  <c:v>2.3650055295620486E-4</c:v>
                </c:pt>
                <c:pt idx="197">
                  <c:v>1.5846737558486881E-4</c:v>
                </c:pt>
                <c:pt idx="198">
                  <c:v>7.9633857932799755E-5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4F-4C8E-B4D3-F6CD697EC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078912"/>
        <c:axId val="1066079392"/>
      </c:scatterChart>
      <c:valAx>
        <c:axId val="10660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79392"/>
        <c:crosses val="autoZero"/>
        <c:crossBetween val="midCat"/>
      </c:valAx>
      <c:valAx>
        <c:axId val="10660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7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360463</xdr:colOff>
      <xdr:row>5</xdr:row>
      <xdr:rowOff>89285</xdr:rowOff>
    </xdr:from>
    <xdr:to>
      <xdr:col>28</xdr:col>
      <xdr:colOff>470222</xdr:colOff>
      <xdr:row>35</xdr:row>
      <xdr:rowOff>144684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EF9C5-E9F6-FF9D-1714-C4DD2A891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602848</xdr:colOff>
      <xdr:row>35</xdr:row>
      <xdr:rowOff>72341</xdr:rowOff>
    </xdr:from>
    <xdr:to>
      <xdr:col>26</xdr:col>
      <xdr:colOff>96454</xdr:colOff>
      <xdr:row>54</xdr:row>
      <xdr:rowOff>108513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2DA98-2702-EF81-D99B-2A6C98B87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4482</xdr:colOff>
      <xdr:row>0</xdr:row>
      <xdr:rowOff>0</xdr:rowOff>
    </xdr:from>
    <xdr:to>
      <xdr:col>30</xdr:col>
      <xdr:colOff>325257</xdr:colOff>
      <xdr:row>16</xdr:row>
      <xdr:rowOff>9952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5CCC2-BE69-3EC4-6E91-FD9E84C8C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6629" y="0"/>
          <a:ext cx="10002657" cy="3057952"/>
        </a:xfrm>
        <a:prstGeom prst="rect">
          <a:avLst/>
        </a:prstGeom>
      </xdr:spPr>
    </xdr:pic>
    <xdr:clientData/>
  </xdr:twoCellAnchor>
  <xdr:twoCellAnchor editAs="oneCell">
    <xdr:from>
      <xdr:col>11</xdr:col>
      <xdr:colOff>564776</xdr:colOff>
      <xdr:row>18</xdr:row>
      <xdr:rowOff>104215</xdr:rowOff>
    </xdr:from>
    <xdr:to>
      <xdr:col>28</xdr:col>
      <xdr:colOff>251854</xdr:colOff>
      <xdr:row>33</xdr:row>
      <xdr:rowOff>180824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854D4D-3603-9142-3846-51B3315DA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1570" y="3533215"/>
          <a:ext cx="9974078" cy="2934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533400</xdr:colOff>
      <xdr:row>1</xdr:row>
      <xdr:rowOff>95250</xdr:rowOff>
    </xdr:from>
    <xdr:to>
      <xdr:col>28</xdr:col>
      <xdr:colOff>93927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E56FB-F2B5-416A-7756-76AC80F27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1700" y="285750"/>
          <a:ext cx="4437327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3</xdr:row>
      <xdr:rowOff>123825</xdr:rowOff>
    </xdr:from>
    <xdr:to>
      <xdr:col>12</xdr:col>
      <xdr:colOff>57649</xdr:colOff>
      <xdr:row>14</xdr:row>
      <xdr:rowOff>143171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30188-51B9-ED5B-FEDF-A5447D8C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775" y="695325"/>
          <a:ext cx="3572374" cy="2124371"/>
        </a:xfrm>
        <a:prstGeom prst="rect">
          <a:avLst/>
        </a:prstGeom>
      </xdr:spPr>
    </xdr:pic>
    <xdr:clientData/>
  </xdr:twoCellAnchor>
  <xdr:twoCellAnchor editAs="oneCell">
    <xdr:from>
      <xdr:col>6</xdr:col>
      <xdr:colOff>75786</xdr:colOff>
      <xdr:row>16</xdr:row>
      <xdr:rowOff>50938</xdr:rowOff>
    </xdr:from>
    <xdr:to>
      <xdr:col>13</xdr:col>
      <xdr:colOff>305014</xdr:colOff>
      <xdr:row>38</xdr:row>
      <xdr:rowOff>80102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5A2B95-7396-33BE-2BC2-65064C60B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2938" y="3107221"/>
          <a:ext cx="4519619" cy="4220164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18</xdr:row>
      <xdr:rowOff>133350</xdr:rowOff>
    </xdr:from>
    <xdr:to>
      <xdr:col>21</xdr:col>
      <xdr:colOff>134005</xdr:colOff>
      <xdr:row>32</xdr:row>
      <xdr:rowOff>143249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F791A3-9A03-6A32-41C8-C89470E0A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15425" y="3571875"/>
          <a:ext cx="4696480" cy="2676899"/>
        </a:xfrm>
        <a:prstGeom prst="rect">
          <a:avLst/>
        </a:prstGeom>
      </xdr:spPr>
    </xdr:pic>
    <xdr:clientData/>
  </xdr:twoCellAnchor>
  <xdr:twoCellAnchor editAs="oneCell">
    <xdr:from>
      <xdr:col>12</xdr:col>
      <xdr:colOff>290720</xdr:colOff>
      <xdr:row>3</xdr:row>
      <xdr:rowOff>123824</xdr:rowOff>
    </xdr:from>
    <xdr:to>
      <xdr:col>18</xdr:col>
      <xdr:colOff>148335</xdr:colOff>
      <xdr:row>17</xdr:row>
      <xdr:rowOff>75324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3346C2-D23D-B5CC-3522-5ADBB8F5A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2220" y="695324"/>
          <a:ext cx="3515215" cy="2628025"/>
        </a:xfrm>
        <a:prstGeom prst="rect">
          <a:avLst/>
        </a:prstGeom>
      </xdr:spPr>
    </xdr:pic>
    <xdr:clientData/>
  </xdr:twoCellAnchor>
  <xdr:twoCellAnchor editAs="oneCell">
    <xdr:from>
      <xdr:col>21</xdr:col>
      <xdr:colOff>239486</xdr:colOff>
      <xdr:row>19</xdr:row>
      <xdr:rowOff>100583</xdr:rowOff>
    </xdr:from>
    <xdr:to>
      <xdr:col>28</xdr:col>
      <xdr:colOff>288471</xdr:colOff>
      <xdr:row>39</xdr:row>
      <xdr:rowOff>7589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2D4876-EDD1-A9E1-7C4C-383BA54AC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17386" y="3729608"/>
          <a:ext cx="4316185" cy="3717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171450</xdr:rowOff>
    </xdr:from>
    <xdr:to>
      <xdr:col>9</xdr:col>
      <xdr:colOff>302044</xdr:colOff>
      <xdr:row>37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B08E48-3DF2-4C70-5B17-2FF9BB801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038475"/>
          <a:ext cx="6664744" cy="4200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9D6E2-F57B-4F17-A622-7D5615C30F6E}" name="Table1" displayName="Table1" ref="A6:N206" totalsRowShown="0">
  <autoFilter ref="A6:N206" xr:uid="{1749D6E2-F57B-4F17-A622-7D5615C30F6E}"/>
  <tableColumns count="14">
    <tableColumn id="1" xr3:uid="{23F6CC53-3B36-4029-B0F9-0B2E17461A61}" name="Duty"/>
    <tableColumn id="2" xr3:uid="{72C47EA4-9324-4828-98C8-9B0EE22F0B71}" name="Vout">
      <calculatedColumnFormula>A7*Vin</calculatedColumnFormula>
    </tableColumn>
    <tableColumn id="3" xr3:uid="{01E6AF75-363D-4D18-BF41-D53DB3E826CB}" name="Ripple Current (A)" dataDxfId="11">
      <calculatedColumnFormula>(Vin-Table1[[#This Row],[Vout]])*Table1[[#This Row],[Duty]]/(Frequency*Inductance)</calculatedColumnFormula>
    </tableColumn>
    <tableColumn id="4" xr3:uid="{A95A4DDE-7299-4DAA-99F9-F21CB7A44D53}" name="Imin" dataDxfId="10">
      <calculatedColumnFormula>Irms-Table1[[#This Row],[Ripple Current (A)]]</calculatedColumnFormula>
    </tableColumn>
    <tableColumn id="5" xr3:uid="{8A80347B-130C-4B04-843B-31F8ECDFD466}" name="Imax" dataDxfId="9">
      <calculatedColumnFormula>Irms+Table1[[#This Row],[Ripple Current (A)]]</calculatedColumnFormula>
    </tableColumn>
    <tableColumn id="6" xr3:uid="{561F2B25-8B8A-48AF-8F96-80051E4F2FAA}" name="Pout" dataDxfId="8">
      <calculatedColumnFormula>Table1[[#This Row],[Vout]]*(Table1[[#This Row],[Imin]]+Table1[[#This Row],[Ripple Current (A)]])</calculatedColumnFormula>
    </tableColumn>
    <tableColumn id="7" xr3:uid="{D840E4EF-CCFF-4908-A07D-DBDC876AC307}" name="Energy/Cycle" dataDxfId="7">
      <calculatedColumnFormula>Table1[[#This Row],[Pout]]/Frequency</calculatedColumnFormula>
    </tableColumn>
    <tableColumn id="8" xr3:uid="{BA13BA90-82E7-40E4-A6A7-48B2A9F76EF6}" name="Time On" dataDxfId="6">
      <calculatedColumnFormula>Table1[[#This Row],[Duty]]/Frequency</calculatedColumnFormula>
    </tableColumn>
    <tableColumn id="9" xr3:uid="{4261E913-D5FD-4A82-B442-C0EB70A2E3AF}" name="Idc" dataDxfId="5">
      <calculatedColumnFormula>Table1[[#This Row],[Pout]]/Vin</calculatedColumnFormula>
    </tableColumn>
    <tableColumn id="10" xr3:uid="{7CFB591A-2F1C-436D-854A-BA2D8156BC58}" name="Edc" dataDxfId="4">
      <calculatedColumnFormula>Vin*Table1[[#This Row],[Idc]]*Table1[[#This Row],[Time On]]</calculatedColumnFormula>
    </tableColumn>
    <tableColumn id="11" xr3:uid="{1B5E7B8E-5F64-464F-A620-E7D8F59A210E}" name="E Capacitor" dataDxfId="3">
      <calculatedColumnFormula>Table1[[#This Row],[Energy/Cycle]]-Table1[[#This Row],[Edc]]</calculatedColumnFormula>
    </tableColumn>
    <tableColumn id="12" xr3:uid="{A059028F-0EA9-4CCC-836E-52A5B8B561A5}" name="Capacitor" dataDxfId="2">
      <calculatedColumnFormula>2*Table1[[#This Row],[E Capacitor]]/(Vin^2-(Vin-V_ripple)^2)</calculatedColumnFormula>
    </tableColumn>
    <tableColumn id="13" xr3:uid="{E2DA0FA2-D279-47DA-AD7A-24B445877473}" name="Ein vs Eout" dataDxfId="1">
      <calculatedColumnFormula>Table1[[#This Row],[Energy/Cycle]]-(Table1[[#This Row],[E Capacitor]]+Table1[[#This Row],[Edc]])</calculatedColumnFormula>
    </tableColumn>
    <tableColumn id="14" xr3:uid="{198AFB52-E964-48D1-9D45-376728774552}" name="RMS Capacitor Current" dataDxfId="0">
      <calculatedColumnFormula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nalog.com/jp/resources/technical-articles/input-and-output-noise-in-buck-converters-explained.html" TargetMode="External"/><Relationship Id="rId1" Type="http://schemas.openxmlformats.org/officeDocument/2006/relationships/hyperlink" Target="https://www.ti.com/lit/an/slyt670/slyt670.pdf?ts=1765201853109&amp;ref_url=https%253A%252F%252Fwww.google.com%252F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E97-DC33-4C9B-BD73-D2C2C7CD3E2D}">
  <dimension ref="A1:P206"/>
  <sheetViews>
    <sheetView zoomScale="79" workbookViewId="0">
      <selection activeCell="B5" sqref="B5"/>
    </sheetView>
  </sheetViews>
  <sheetFormatPr defaultRowHeight="15" x14ac:dyDescent="0.25"/>
  <cols>
    <col min="3" max="3" width="15.5703125" customWidth="1"/>
    <col min="4" max="4" width="23.140625" bestFit="1" customWidth="1"/>
    <col min="8" max="8" width="10" bestFit="1" customWidth="1"/>
  </cols>
  <sheetData>
    <row r="1" spans="1:16" x14ac:dyDescent="0.25">
      <c r="A1" t="s">
        <v>0</v>
      </c>
      <c r="B1" s="1">
        <v>50000</v>
      </c>
      <c r="D1" t="s">
        <v>21</v>
      </c>
      <c r="E1" s="3">
        <f>MAX(Table1[Capacitor])</f>
        <v>4.0017014036582898E-3</v>
      </c>
      <c r="G1" t="s">
        <v>23</v>
      </c>
    </row>
    <row r="2" spans="1:16" x14ac:dyDescent="0.25">
      <c r="A2" t="s">
        <v>1</v>
      </c>
      <c r="B2" s="1">
        <v>6.9999999999999994E-5</v>
      </c>
      <c r="D2" t="s">
        <v>18</v>
      </c>
      <c r="E2">
        <f>E1/0.000005</f>
        <v>800.34028073165791</v>
      </c>
      <c r="G2" t="s">
        <v>22</v>
      </c>
      <c r="P2" t="s">
        <v>24</v>
      </c>
    </row>
    <row r="3" spans="1:16" x14ac:dyDescent="0.25">
      <c r="A3" t="s">
        <v>2</v>
      </c>
      <c r="B3">
        <v>29.4</v>
      </c>
      <c r="D3" t="s">
        <v>19</v>
      </c>
      <c r="E3">
        <f>(3.2+1)*(2.5+1)</f>
        <v>14.700000000000001</v>
      </c>
      <c r="P3" t="s">
        <v>25</v>
      </c>
    </row>
    <row r="4" spans="1:16" x14ac:dyDescent="0.25">
      <c r="A4" t="s">
        <v>6</v>
      </c>
      <c r="B4">
        <v>20</v>
      </c>
      <c r="D4" t="s">
        <v>20</v>
      </c>
      <c r="E4">
        <f>E3*E2</f>
        <v>11765.002126755373</v>
      </c>
      <c r="P4" t="s">
        <v>27</v>
      </c>
    </row>
    <row r="5" spans="1:16" x14ac:dyDescent="0.25">
      <c r="A5" t="s">
        <v>15</v>
      </c>
      <c r="B5" s="1">
        <v>2.5000000000000001E-2</v>
      </c>
      <c r="P5" t="s">
        <v>26</v>
      </c>
    </row>
    <row r="6" spans="1:16" x14ac:dyDescent="0.25">
      <c r="A6" t="s">
        <v>3</v>
      </c>
      <c r="B6" t="s">
        <v>4</v>
      </c>
      <c r="C6" t="s">
        <v>5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16</v>
      </c>
      <c r="M6" t="s">
        <v>17</v>
      </c>
      <c r="N6" t="s">
        <v>28</v>
      </c>
    </row>
    <row r="7" spans="1:16" x14ac:dyDescent="0.25">
      <c r="A7">
        <v>5.0000000000000001E-3</v>
      </c>
      <c r="B7">
        <f t="shared" ref="B7:B38" si="0">A7*Vin</f>
        <v>0.14699999999999999</v>
      </c>
      <c r="C7">
        <f>(Vin-Table1[[#This Row],[Vout]])*Table1[[#This Row],[Duty]]/(Frequency*Inductance)</f>
        <v>4.1790000000000008E-2</v>
      </c>
      <c r="D7">
        <f>Irms-Table1[[#This Row],[Ripple Current (A)]]</f>
        <v>19.958210000000001</v>
      </c>
      <c r="E7">
        <f>Irms+Table1[[#This Row],[Ripple Current (A)]]</f>
        <v>20.041789999999999</v>
      </c>
      <c r="F7">
        <f>Table1[[#This Row],[Vout]]*(Table1[[#This Row],[Imin]]+Table1[[#This Row],[Ripple Current (A)]])</f>
        <v>2.94</v>
      </c>
      <c r="G7" s="1">
        <f>Table1[[#This Row],[Pout]]/Frequency</f>
        <v>5.8799999999999999E-5</v>
      </c>
      <c r="H7" s="1">
        <f>Table1[[#This Row],[Duty]]/Frequency</f>
        <v>9.9999999999999995E-8</v>
      </c>
      <c r="I7" s="1">
        <f>Table1[[#This Row],[Pout]]/Vin</f>
        <v>0.1</v>
      </c>
      <c r="J7" s="1">
        <f>Vin*Table1[[#This Row],[Idc]]*Table1[[#This Row],[Time On]]</f>
        <v>2.9399999999999996E-7</v>
      </c>
      <c r="K7" s="1">
        <f>Table1[[#This Row],[Energy/Cycle]]-Table1[[#This Row],[Edc]]</f>
        <v>5.8505999999999999E-5</v>
      </c>
      <c r="L7" s="1">
        <f>2*Table1[[#This Row],[E Capacitor]]/(Vin^2-(Vin-V_ripple)^2)</f>
        <v>7.9633857932799972E-5</v>
      </c>
      <c r="M7" s="1">
        <f>Table1[[#This Row],[Energy/Cycle]]-(Table1[[#This Row],[E Capacitor]]+Table1[[#This Row],[Edc]])</f>
        <v>0</v>
      </c>
      <c r="N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1.4106725663053421</v>
      </c>
    </row>
    <row r="8" spans="1:16" x14ac:dyDescent="0.25">
      <c r="A8">
        <v>0.01</v>
      </c>
      <c r="B8">
        <f t="shared" si="0"/>
        <v>0.29399999999999998</v>
      </c>
      <c r="C8">
        <f>(Vin-Table1[[#This Row],[Vout]])*Table1[[#This Row],[Duty]]/(Frequency*Inductance)</f>
        <v>8.3160000000000012E-2</v>
      </c>
      <c r="D8">
        <f>Irms-Table1[[#This Row],[Ripple Current (A)]]</f>
        <v>19.916840000000001</v>
      </c>
      <c r="E8">
        <f>Irms+Table1[[#This Row],[Ripple Current (A)]]</f>
        <v>20.083159999999999</v>
      </c>
      <c r="F8">
        <f>Table1[[#This Row],[Vout]]*(Table1[[#This Row],[Imin]]+Table1[[#This Row],[Ripple Current (A)]])</f>
        <v>5.88</v>
      </c>
      <c r="G8" s="1">
        <f>Table1[[#This Row],[Pout]]/Frequency</f>
        <v>1.176E-4</v>
      </c>
      <c r="H8" s="1">
        <f>Table1[[#This Row],[Duty]]/Frequency</f>
        <v>1.9999999999999999E-7</v>
      </c>
      <c r="I8" s="1">
        <f>Table1[[#This Row],[Pout]]/Vin</f>
        <v>0.2</v>
      </c>
      <c r="J8" s="1">
        <f>Vin*Table1[[#This Row],[Idc]]*Table1[[#This Row],[Time On]]</f>
        <v>1.1759999999999998E-6</v>
      </c>
      <c r="K8" s="1">
        <f>Table1[[#This Row],[Energy/Cycle]]-Table1[[#This Row],[Edc]]</f>
        <v>1.16424E-4</v>
      </c>
      <c r="L8" s="1">
        <f>2*Table1[[#This Row],[E Capacitor]]/(Vin^2-(Vin-V_ripple)^2)</f>
        <v>1.584673755848683E-4</v>
      </c>
      <c r="M8" s="1">
        <f>Table1[[#This Row],[Energy/Cycle]]-(Table1[[#This Row],[E Capacitor]]+Table1[[#This Row],[Edc]])</f>
        <v>0</v>
      </c>
      <c r="N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1.989969082183942</v>
      </c>
    </row>
    <row r="9" spans="1:16" x14ac:dyDescent="0.25">
      <c r="A9">
        <v>1.4999999999999999E-2</v>
      </c>
      <c r="B9">
        <f t="shared" si="0"/>
        <v>0.44099999999999995</v>
      </c>
      <c r="C9">
        <f>(Vin-Table1[[#This Row],[Vout]])*Table1[[#This Row],[Duty]]/(Frequency*Inductance)</f>
        <v>0.12411000000000001</v>
      </c>
      <c r="D9">
        <f>Irms-Table1[[#This Row],[Ripple Current (A)]]</f>
        <v>19.875889999999998</v>
      </c>
      <c r="E9">
        <f>Irms+Table1[[#This Row],[Ripple Current (A)]]</f>
        <v>20.124110000000002</v>
      </c>
      <c r="F9">
        <f>Table1[[#This Row],[Vout]]*(Table1[[#This Row],[Imin]]+Table1[[#This Row],[Ripple Current (A)]])</f>
        <v>8.8199999999999985</v>
      </c>
      <c r="G9" s="1">
        <f>Table1[[#This Row],[Pout]]/Frequency</f>
        <v>1.7639999999999998E-4</v>
      </c>
      <c r="H9" s="1">
        <f>Table1[[#This Row],[Duty]]/Frequency</f>
        <v>2.9999999999999999E-7</v>
      </c>
      <c r="I9" s="1">
        <f>Table1[[#This Row],[Pout]]/Vin</f>
        <v>0.3</v>
      </c>
      <c r="J9" s="1">
        <f>Vin*Table1[[#This Row],[Idc]]*Table1[[#This Row],[Time On]]</f>
        <v>2.6459999999999993E-6</v>
      </c>
      <c r="K9" s="1">
        <f>Table1[[#This Row],[Energy/Cycle]]-Table1[[#This Row],[Edc]]</f>
        <v>1.7375399999999998E-4</v>
      </c>
      <c r="L9" s="1">
        <f>2*Table1[[#This Row],[E Capacitor]]/(Vin^2-(Vin-V_ripple)^2)</f>
        <v>2.3650055295620492E-4</v>
      </c>
      <c r="M9" s="1">
        <f>Table1[[#This Row],[Energy/Cycle]]-(Table1[[#This Row],[E Capacitor]]+Table1[[#This Row],[Edc]])</f>
        <v>0</v>
      </c>
      <c r="N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2.4310333160077215</v>
      </c>
    </row>
    <row r="10" spans="1:16" x14ac:dyDescent="0.25">
      <c r="A10">
        <v>0.02</v>
      </c>
      <c r="B10">
        <f t="shared" si="0"/>
        <v>0.58799999999999997</v>
      </c>
      <c r="C10">
        <f>(Vin-Table1[[#This Row],[Vout]])*Table1[[#This Row],[Duty]]/(Frequency*Inductance)</f>
        <v>0.16464000000000001</v>
      </c>
      <c r="D10">
        <f>Irms-Table1[[#This Row],[Ripple Current (A)]]</f>
        <v>19.835360000000001</v>
      </c>
      <c r="E10">
        <f>Irms+Table1[[#This Row],[Ripple Current (A)]]</f>
        <v>20.164639999999999</v>
      </c>
      <c r="F10">
        <f>Table1[[#This Row],[Vout]]*(Table1[[#This Row],[Imin]]+Table1[[#This Row],[Ripple Current (A)]])</f>
        <v>11.76</v>
      </c>
      <c r="G10" s="1">
        <f>Table1[[#This Row],[Pout]]/Frequency</f>
        <v>2.352E-4</v>
      </c>
      <c r="H10" s="1">
        <f>Table1[[#This Row],[Duty]]/Frequency</f>
        <v>3.9999999999999998E-7</v>
      </c>
      <c r="I10" s="1">
        <f>Table1[[#This Row],[Pout]]/Vin</f>
        <v>0.4</v>
      </c>
      <c r="J10" s="1">
        <f>Vin*Table1[[#This Row],[Idc]]*Table1[[#This Row],[Time On]]</f>
        <v>4.7039999999999993E-6</v>
      </c>
      <c r="K10" s="1">
        <f>Table1[[#This Row],[Energy/Cycle]]-Table1[[#This Row],[Edc]]</f>
        <v>2.3049600000000001E-4</v>
      </c>
      <c r="L10" s="1">
        <f>2*Table1[[#This Row],[E Capacitor]]/(Vin^2-(Vin-V_ripple)^2)</f>
        <v>3.1373339004680997E-4</v>
      </c>
      <c r="M10" s="1">
        <f>Table1[[#This Row],[Energy/Cycle]]-(Table1[[#This Row],[E Capacitor]]+Table1[[#This Row],[Edc]])</f>
        <v>0</v>
      </c>
      <c r="N1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2.7999677303740489</v>
      </c>
    </row>
    <row r="11" spans="1:16" x14ac:dyDescent="0.25">
      <c r="A11">
        <v>2.5000000000000001E-2</v>
      </c>
      <c r="B11">
        <f t="shared" si="0"/>
        <v>0.73499999999999999</v>
      </c>
      <c r="C11">
        <f>(Vin-Table1[[#This Row],[Vout]])*Table1[[#This Row],[Duty]]/(Frequency*Inductance)</f>
        <v>0.20475000000000004</v>
      </c>
      <c r="D11">
        <f>Irms-Table1[[#This Row],[Ripple Current (A)]]</f>
        <v>19.795249999999999</v>
      </c>
      <c r="E11">
        <f>Irms+Table1[[#This Row],[Ripple Current (A)]]</f>
        <v>20.204750000000001</v>
      </c>
      <c r="F11">
        <f>Table1[[#This Row],[Vout]]*(Table1[[#This Row],[Imin]]+Table1[[#This Row],[Ripple Current (A)]])</f>
        <v>14.7</v>
      </c>
      <c r="G11" s="1">
        <f>Table1[[#This Row],[Pout]]/Frequency</f>
        <v>2.9399999999999999E-4</v>
      </c>
      <c r="H11" s="1">
        <f>Table1[[#This Row],[Duty]]/Frequency</f>
        <v>4.9999999999999998E-7</v>
      </c>
      <c r="I11" s="1">
        <f>Table1[[#This Row],[Pout]]/Vin</f>
        <v>0.5</v>
      </c>
      <c r="J11" s="1">
        <f>Vin*Table1[[#This Row],[Idc]]*Table1[[#This Row],[Time On]]</f>
        <v>7.3499999999999991E-6</v>
      </c>
      <c r="K11" s="1">
        <f>Table1[[#This Row],[Energy/Cycle]]-Table1[[#This Row],[Edc]]</f>
        <v>2.8665E-4</v>
      </c>
      <c r="L11" s="1">
        <f>2*Table1[[#This Row],[E Capacitor]]/(Vin^2-(Vin-V_ripple)^2)</f>
        <v>3.9016588685668329E-4</v>
      </c>
      <c r="M11" s="1">
        <f>Table1[[#This Row],[Energy/Cycle]]-(Table1[[#This Row],[E Capacitor]]+Table1[[#This Row],[Edc]])</f>
        <v>0</v>
      </c>
      <c r="N1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3.1224430571769437</v>
      </c>
    </row>
    <row r="12" spans="1:16" x14ac:dyDescent="0.25">
      <c r="A12">
        <v>0.03</v>
      </c>
      <c r="B12">
        <f t="shared" si="0"/>
        <v>0.8819999999999999</v>
      </c>
      <c r="C12">
        <f>(Vin-Table1[[#This Row],[Vout]])*Table1[[#This Row],[Duty]]/(Frequency*Inductance)</f>
        <v>0.24443999999999999</v>
      </c>
      <c r="D12">
        <f>Irms-Table1[[#This Row],[Ripple Current (A)]]</f>
        <v>19.755559999999999</v>
      </c>
      <c r="E12">
        <f>Irms+Table1[[#This Row],[Ripple Current (A)]]</f>
        <v>20.244440000000001</v>
      </c>
      <c r="F12">
        <f>Table1[[#This Row],[Vout]]*(Table1[[#This Row],[Imin]]+Table1[[#This Row],[Ripple Current (A)]])</f>
        <v>17.639999999999997</v>
      </c>
      <c r="G12" s="1">
        <f>Table1[[#This Row],[Pout]]/Frequency</f>
        <v>3.5279999999999996E-4</v>
      </c>
      <c r="H12" s="1">
        <f>Table1[[#This Row],[Duty]]/Frequency</f>
        <v>5.9999999999999997E-7</v>
      </c>
      <c r="I12" s="1">
        <f>Table1[[#This Row],[Pout]]/Vin</f>
        <v>0.6</v>
      </c>
      <c r="J12" s="1">
        <f>Vin*Table1[[#This Row],[Idc]]*Table1[[#This Row],[Time On]]</f>
        <v>1.0583999999999997E-5</v>
      </c>
      <c r="K12" s="1">
        <f>Table1[[#This Row],[Energy/Cycle]]-Table1[[#This Row],[Edc]]</f>
        <v>3.4221599999999995E-4</v>
      </c>
      <c r="L12" s="1">
        <f>2*Table1[[#This Row],[E Capacitor]]/(Vin^2-(Vin-V_ripple)^2)</f>
        <v>4.6579804338582495E-4</v>
      </c>
      <c r="M12" s="1">
        <f>Table1[[#This Row],[Energy/Cycle]]-(Table1[[#This Row],[E Capacitor]]+Table1[[#This Row],[Edc]])</f>
        <v>0</v>
      </c>
      <c r="N1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3.4116568542079366</v>
      </c>
    </row>
    <row r="13" spans="1:16" x14ac:dyDescent="0.25">
      <c r="A13">
        <v>3.5000000000000003E-2</v>
      </c>
      <c r="B13">
        <f t="shared" si="0"/>
        <v>1.0290000000000001</v>
      </c>
      <c r="C13">
        <f>(Vin-Table1[[#This Row],[Vout]])*Table1[[#This Row],[Duty]]/(Frequency*Inductance)</f>
        <v>0.28371000000000002</v>
      </c>
      <c r="D13">
        <f>Irms-Table1[[#This Row],[Ripple Current (A)]]</f>
        <v>19.716290000000001</v>
      </c>
      <c r="E13">
        <f>Irms+Table1[[#This Row],[Ripple Current (A)]]</f>
        <v>20.283709999999999</v>
      </c>
      <c r="F13">
        <f>Table1[[#This Row],[Vout]]*(Table1[[#This Row],[Imin]]+Table1[[#This Row],[Ripple Current (A)]])</f>
        <v>20.580000000000002</v>
      </c>
      <c r="G13" s="1">
        <f>Table1[[#This Row],[Pout]]/Frequency</f>
        <v>4.1160000000000003E-4</v>
      </c>
      <c r="H13" s="1">
        <f>Table1[[#This Row],[Duty]]/Frequency</f>
        <v>7.0000000000000007E-7</v>
      </c>
      <c r="I13" s="1">
        <f>Table1[[#This Row],[Pout]]/Vin</f>
        <v>0.70000000000000007</v>
      </c>
      <c r="J13" s="1">
        <f>Vin*Table1[[#This Row],[Idc]]*Table1[[#This Row],[Time On]]</f>
        <v>1.4406000000000002E-5</v>
      </c>
      <c r="K13" s="1">
        <f>Table1[[#This Row],[Energy/Cycle]]-Table1[[#This Row],[Edc]]</f>
        <v>3.9719400000000002E-4</v>
      </c>
      <c r="L13" s="1">
        <f>2*Table1[[#This Row],[E Capacitor]]/(Vin^2-(Vin-V_ripple)^2)</f>
        <v>5.4062985963423504E-4</v>
      </c>
      <c r="M13" s="1">
        <f>Table1[[#This Row],[Energy/Cycle]]-(Table1[[#This Row],[E Capacitor]]+Table1[[#This Row],[Edc]])</f>
        <v>0</v>
      </c>
      <c r="N1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3.6754674442967796</v>
      </c>
    </row>
    <row r="14" spans="1:16" x14ac:dyDescent="0.25">
      <c r="A14">
        <v>0.04</v>
      </c>
      <c r="B14">
        <f t="shared" si="0"/>
        <v>1.1759999999999999</v>
      </c>
      <c r="C14">
        <f>(Vin-Table1[[#This Row],[Vout]])*Table1[[#This Row],[Duty]]/(Frequency*Inductance)</f>
        <v>0.32256000000000001</v>
      </c>
      <c r="D14">
        <f>Irms-Table1[[#This Row],[Ripple Current (A)]]</f>
        <v>19.677440000000001</v>
      </c>
      <c r="E14">
        <f>Irms+Table1[[#This Row],[Ripple Current (A)]]</f>
        <v>20.322559999999999</v>
      </c>
      <c r="F14">
        <f>Table1[[#This Row],[Vout]]*(Table1[[#This Row],[Imin]]+Table1[[#This Row],[Ripple Current (A)]])</f>
        <v>23.52</v>
      </c>
      <c r="G14" s="1">
        <f>Table1[[#This Row],[Pout]]/Frequency</f>
        <v>4.704E-4</v>
      </c>
      <c r="H14" s="1">
        <f>Table1[[#This Row],[Duty]]/Frequency</f>
        <v>7.9999999999999996E-7</v>
      </c>
      <c r="I14" s="1">
        <f>Table1[[#This Row],[Pout]]/Vin</f>
        <v>0.8</v>
      </c>
      <c r="J14" s="1">
        <f>Vin*Table1[[#This Row],[Idc]]*Table1[[#This Row],[Time On]]</f>
        <v>1.8815999999999997E-5</v>
      </c>
      <c r="K14" s="1">
        <f>Table1[[#This Row],[Energy/Cycle]]-Table1[[#This Row],[Edc]]</f>
        <v>4.5158399999999999E-4</v>
      </c>
      <c r="L14" s="1">
        <f>2*Table1[[#This Row],[E Capacitor]]/(Vin^2-(Vin-V_ripple)^2)</f>
        <v>6.1466133560191341E-4</v>
      </c>
      <c r="M14" s="1">
        <f>Table1[[#This Row],[Energy/Cycle]]-(Table1[[#This Row],[E Capacitor]]+Table1[[#This Row],[Edc]])</f>
        <v>0</v>
      </c>
      <c r="N1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3.9190066003965849</v>
      </c>
    </row>
    <row r="15" spans="1:16" x14ac:dyDescent="0.25">
      <c r="A15">
        <v>4.4999999999999998E-2</v>
      </c>
      <c r="B15">
        <f t="shared" si="0"/>
        <v>1.323</v>
      </c>
      <c r="C15">
        <f>(Vin-Table1[[#This Row],[Vout]])*Table1[[#This Row],[Duty]]/(Frequency*Inductance)</f>
        <v>0.36098999999999998</v>
      </c>
      <c r="D15">
        <f>Irms-Table1[[#This Row],[Ripple Current (A)]]</f>
        <v>19.639009999999999</v>
      </c>
      <c r="E15">
        <f>Irms+Table1[[#This Row],[Ripple Current (A)]]</f>
        <v>20.360990000000001</v>
      </c>
      <c r="F15">
        <f>Table1[[#This Row],[Vout]]*(Table1[[#This Row],[Imin]]+Table1[[#This Row],[Ripple Current (A)]])</f>
        <v>26.46</v>
      </c>
      <c r="G15" s="1">
        <f>Table1[[#This Row],[Pout]]/Frequency</f>
        <v>5.2920000000000007E-4</v>
      </c>
      <c r="H15" s="1">
        <f>Table1[[#This Row],[Duty]]/Frequency</f>
        <v>8.9999999999999996E-7</v>
      </c>
      <c r="I15" s="1">
        <f>Table1[[#This Row],[Pout]]/Vin</f>
        <v>0.9</v>
      </c>
      <c r="J15" s="1">
        <f>Vin*Table1[[#This Row],[Idc]]*Table1[[#This Row],[Time On]]</f>
        <v>2.3813999999999999E-5</v>
      </c>
      <c r="K15" s="1">
        <f>Table1[[#This Row],[Energy/Cycle]]-Table1[[#This Row],[Edc]]</f>
        <v>5.0538600000000003E-4</v>
      </c>
      <c r="L15" s="1">
        <f>2*Table1[[#This Row],[E Capacitor]]/(Vin^2-(Vin-V_ripple)^2)</f>
        <v>6.878924712888601E-4</v>
      </c>
      <c r="M15" s="1">
        <f>Table1[[#This Row],[Energy/Cycle]]-(Table1[[#This Row],[E Capacitor]]+Table1[[#This Row],[Edc]])</f>
        <v>0</v>
      </c>
      <c r="N1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4.1458467522688895</v>
      </c>
    </row>
    <row r="16" spans="1:16" x14ac:dyDescent="0.25">
      <c r="A16">
        <v>0.05</v>
      </c>
      <c r="B16">
        <f t="shared" si="0"/>
        <v>1.47</v>
      </c>
      <c r="C16">
        <f>(Vin-Table1[[#This Row],[Vout]])*Table1[[#This Row],[Duty]]/(Frequency*Inductance)</f>
        <v>0.39900000000000008</v>
      </c>
      <c r="D16">
        <f>Irms-Table1[[#This Row],[Ripple Current (A)]]</f>
        <v>19.600999999999999</v>
      </c>
      <c r="E16">
        <f>Irms+Table1[[#This Row],[Ripple Current (A)]]</f>
        <v>20.399000000000001</v>
      </c>
      <c r="F16">
        <f>Table1[[#This Row],[Vout]]*(Table1[[#This Row],[Imin]]+Table1[[#This Row],[Ripple Current (A)]])</f>
        <v>29.4</v>
      </c>
      <c r="G16" s="1">
        <f>Table1[[#This Row],[Pout]]/Frequency</f>
        <v>5.8799999999999998E-4</v>
      </c>
      <c r="H16" s="1">
        <f>Table1[[#This Row],[Duty]]/Frequency</f>
        <v>9.9999999999999995E-7</v>
      </c>
      <c r="I16" s="1">
        <f>Table1[[#This Row],[Pout]]/Vin</f>
        <v>1</v>
      </c>
      <c r="J16" s="1">
        <f>Vin*Table1[[#This Row],[Idc]]*Table1[[#This Row],[Time On]]</f>
        <v>2.9399999999999996E-5</v>
      </c>
      <c r="K16" s="1">
        <f>Table1[[#This Row],[Energy/Cycle]]-Table1[[#This Row],[Edc]]</f>
        <v>5.5860000000000003E-4</v>
      </c>
      <c r="L16" s="1">
        <f>2*Table1[[#This Row],[E Capacitor]]/(Vin^2-(Vin-V_ripple)^2)</f>
        <v>7.6032326669507524E-4</v>
      </c>
      <c r="M16" s="1">
        <f>Table1[[#This Row],[Energy/Cycle]]-(Table1[[#This Row],[E Capacitor]]+Table1[[#This Row],[Edc]])</f>
        <v>0</v>
      </c>
      <c r="N1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4.3585945727952256</v>
      </c>
    </row>
    <row r="17" spans="1:14" x14ac:dyDescent="0.25">
      <c r="A17">
        <v>5.5E-2</v>
      </c>
      <c r="B17">
        <f t="shared" si="0"/>
        <v>1.617</v>
      </c>
      <c r="C17">
        <f>(Vin-Table1[[#This Row],[Vout]])*Table1[[#This Row],[Duty]]/(Frequency*Inductance)</f>
        <v>0.43658999999999998</v>
      </c>
      <c r="D17">
        <f>Irms-Table1[[#This Row],[Ripple Current (A)]]</f>
        <v>19.563410000000001</v>
      </c>
      <c r="E17">
        <f>Irms+Table1[[#This Row],[Ripple Current (A)]]</f>
        <v>20.436589999999999</v>
      </c>
      <c r="F17">
        <f>Table1[[#This Row],[Vout]]*(Table1[[#This Row],[Imin]]+Table1[[#This Row],[Ripple Current (A)]])</f>
        <v>32.340000000000003</v>
      </c>
      <c r="G17" s="1">
        <f>Table1[[#This Row],[Pout]]/Frequency</f>
        <v>6.4680000000000011E-4</v>
      </c>
      <c r="H17" s="1">
        <f>Table1[[#This Row],[Duty]]/Frequency</f>
        <v>1.1000000000000001E-6</v>
      </c>
      <c r="I17" s="1">
        <f>Table1[[#This Row],[Pout]]/Vin</f>
        <v>1.1000000000000001</v>
      </c>
      <c r="J17" s="1">
        <f>Vin*Table1[[#This Row],[Idc]]*Table1[[#This Row],[Time On]]</f>
        <v>3.5574000000000009E-5</v>
      </c>
      <c r="K17" s="1">
        <f>Table1[[#This Row],[Energy/Cycle]]-Table1[[#This Row],[Edc]]</f>
        <v>6.1122600000000009E-4</v>
      </c>
      <c r="L17" s="1">
        <f>2*Table1[[#This Row],[E Capacitor]]/(Vin^2-(Vin-V_ripple)^2)</f>
        <v>8.319537218205587E-4</v>
      </c>
      <c r="M17" s="1">
        <f>Table1[[#This Row],[Energy/Cycle]]-(Table1[[#This Row],[E Capacitor]]+Table1[[#This Row],[Edc]])</f>
        <v>0</v>
      </c>
      <c r="N1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4.5592220244413966</v>
      </c>
    </row>
    <row r="18" spans="1:14" x14ac:dyDescent="0.25">
      <c r="A18">
        <v>0.06</v>
      </c>
      <c r="B18">
        <f t="shared" si="0"/>
        <v>1.7639999999999998</v>
      </c>
      <c r="C18">
        <f>(Vin-Table1[[#This Row],[Vout]])*Table1[[#This Row],[Duty]]/(Frequency*Inductance)</f>
        <v>0.47376000000000001</v>
      </c>
      <c r="D18">
        <f>Irms-Table1[[#This Row],[Ripple Current (A)]]</f>
        <v>19.526240000000001</v>
      </c>
      <c r="E18">
        <f>Irms+Table1[[#This Row],[Ripple Current (A)]]</f>
        <v>20.473759999999999</v>
      </c>
      <c r="F18">
        <f>Table1[[#This Row],[Vout]]*(Table1[[#This Row],[Imin]]+Table1[[#This Row],[Ripple Current (A)]])</f>
        <v>35.279999999999994</v>
      </c>
      <c r="G18" s="1">
        <f>Table1[[#This Row],[Pout]]/Frequency</f>
        <v>7.0559999999999991E-4</v>
      </c>
      <c r="H18" s="1">
        <f>Table1[[#This Row],[Duty]]/Frequency</f>
        <v>1.1999999999999999E-6</v>
      </c>
      <c r="I18" s="1">
        <f>Table1[[#This Row],[Pout]]/Vin</f>
        <v>1.2</v>
      </c>
      <c r="J18" s="1">
        <f>Vin*Table1[[#This Row],[Idc]]*Table1[[#This Row],[Time On]]</f>
        <v>4.2335999999999989E-5</v>
      </c>
      <c r="K18" s="1">
        <f>Table1[[#This Row],[Energy/Cycle]]-Table1[[#This Row],[Edc]]</f>
        <v>6.6326399999999989E-4</v>
      </c>
      <c r="L18" s="1">
        <f>2*Table1[[#This Row],[E Capacitor]]/(Vin^2-(Vin-V_ripple)^2)</f>
        <v>9.0278383666531016E-4</v>
      </c>
      <c r="M18" s="1">
        <f>Table1[[#This Row],[Energy/Cycle]]-(Table1[[#This Row],[E Capacitor]]+Table1[[#This Row],[Edc]])</f>
        <v>0</v>
      </c>
      <c r="N1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4.7492642618881513</v>
      </c>
    </row>
    <row r="19" spans="1:14" x14ac:dyDescent="0.25">
      <c r="A19">
        <v>6.5000000000000002E-2</v>
      </c>
      <c r="B19">
        <f t="shared" si="0"/>
        <v>1.911</v>
      </c>
      <c r="C19">
        <f>(Vin-Table1[[#This Row],[Vout]])*Table1[[#This Row],[Duty]]/(Frequency*Inductance)</f>
        <v>0.51051000000000002</v>
      </c>
      <c r="D19">
        <f>Irms-Table1[[#This Row],[Ripple Current (A)]]</f>
        <v>19.48949</v>
      </c>
      <c r="E19">
        <f>Irms+Table1[[#This Row],[Ripple Current (A)]]</f>
        <v>20.51051</v>
      </c>
      <c r="F19">
        <f>Table1[[#This Row],[Vout]]*(Table1[[#This Row],[Imin]]+Table1[[#This Row],[Ripple Current (A)]])</f>
        <v>38.22</v>
      </c>
      <c r="G19" s="1">
        <f>Table1[[#This Row],[Pout]]/Frequency</f>
        <v>7.6439999999999993E-4</v>
      </c>
      <c r="H19" s="1">
        <f>Table1[[#This Row],[Duty]]/Frequency</f>
        <v>1.3E-6</v>
      </c>
      <c r="I19" s="1">
        <f>Table1[[#This Row],[Pout]]/Vin</f>
        <v>1.3</v>
      </c>
      <c r="J19" s="1">
        <f>Vin*Table1[[#This Row],[Idc]]*Table1[[#This Row],[Time On]]</f>
        <v>4.9685999999999998E-5</v>
      </c>
      <c r="K19" s="1">
        <f>Table1[[#This Row],[Energy/Cycle]]-Table1[[#This Row],[Edc]]</f>
        <v>7.1471399999999997E-4</v>
      </c>
      <c r="L19" s="1">
        <f>2*Table1[[#This Row],[E Capacitor]]/(Vin^2-(Vin-V_ripple)^2)</f>
        <v>9.7281361122933039E-4</v>
      </c>
      <c r="M19" s="1">
        <f>Table1[[#This Row],[Energy/Cycle]]-(Table1[[#This Row],[E Capacitor]]+Table1[[#This Row],[Edc]])</f>
        <v>0</v>
      </c>
      <c r="N1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4.9299445456682873</v>
      </c>
    </row>
    <row r="20" spans="1:14" x14ac:dyDescent="0.25">
      <c r="A20">
        <v>7.0000000000000007E-2</v>
      </c>
      <c r="B20">
        <f t="shared" si="0"/>
        <v>2.0580000000000003</v>
      </c>
      <c r="C20">
        <f>(Vin-Table1[[#This Row],[Vout]])*Table1[[#This Row],[Duty]]/(Frequency*Inductance)</f>
        <v>0.5468400000000001</v>
      </c>
      <c r="D20">
        <f>Irms-Table1[[#This Row],[Ripple Current (A)]]</f>
        <v>19.45316</v>
      </c>
      <c r="E20">
        <f>Irms+Table1[[#This Row],[Ripple Current (A)]]</f>
        <v>20.54684</v>
      </c>
      <c r="F20">
        <f>Table1[[#This Row],[Vout]]*(Table1[[#This Row],[Imin]]+Table1[[#This Row],[Ripple Current (A)]])</f>
        <v>41.160000000000004</v>
      </c>
      <c r="G20" s="1">
        <f>Table1[[#This Row],[Pout]]/Frequency</f>
        <v>8.2320000000000006E-4</v>
      </c>
      <c r="H20" s="1">
        <f>Table1[[#This Row],[Duty]]/Frequency</f>
        <v>1.4000000000000001E-6</v>
      </c>
      <c r="I20" s="1">
        <f>Table1[[#This Row],[Pout]]/Vin</f>
        <v>1.4000000000000001</v>
      </c>
      <c r="J20" s="1">
        <f>Vin*Table1[[#This Row],[Idc]]*Table1[[#This Row],[Time On]]</f>
        <v>5.7624000000000009E-5</v>
      </c>
      <c r="K20" s="1">
        <f>Table1[[#This Row],[Energy/Cycle]]-Table1[[#This Row],[Edc]]</f>
        <v>7.6557600000000002E-4</v>
      </c>
      <c r="L20" s="1">
        <f>2*Table1[[#This Row],[E Capacitor]]/(Vin^2-(Vin-V_ripple)^2)</f>
        <v>1.0420430455126187E-3</v>
      </c>
      <c r="M20" s="1">
        <f>Table1[[#This Row],[Energy/Cycle]]-(Table1[[#This Row],[E Capacitor]]+Table1[[#This Row],[Edc]])</f>
        <v>0</v>
      </c>
      <c r="N2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5.1022566125525293</v>
      </c>
    </row>
    <row r="21" spans="1:14" x14ac:dyDescent="0.25">
      <c r="A21">
        <v>7.4999999999999997E-2</v>
      </c>
      <c r="B21">
        <f t="shared" si="0"/>
        <v>2.2049999999999996</v>
      </c>
      <c r="C21">
        <f>(Vin-Table1[[#This Row],[Vout]])*Table1[[#This Row],[Duty]]/(Frequency*Inductance)</f>
        <v>0.5827500000000001</v>
      </c>
      <c r="D21">
        <f>Irms-Table1[[#This Row],[Ripple Current (A)]]</f>
        <v>19.417249999999999</v>
      </c>
      <c r="E21">
        <f>Irms+Table1[[#This Row],[Ripple Current (A)]]</f>
        <v>20.582750000000001</v>
      </c>
      <c r="F21">
        <f>Table1[[#This Row],[Vout]]*(Table1[[#This Row],[Imin]]+Table1[[#This Row],[Ripple Current (A)]])</f>
        <v>44.099999999999994</v>
      </c>
      <c r="G21" s="1">
        <f>Table1[[#This Row],[Pout]]/Frequency</f>
        <v>8.8199999999999986E-4</v>
      </c>
      <c r="H21" s="1">
        <f>Table1[[#This Row],[Duty]]/Frequency</f>
        <v>1.5E-6</v>
      </c>
      <c r="I21" s="1">
        <f>Table1[[#This Row],[Pout]]/Vin</f>
        <v>1.4999999999999998</v>
      </c>
      <c r="J21" s="1">
        <f>Vin*Table1[[#This Row],[Idc]]*Table1[[#This Row],[Time On]]</f>
        <v>6.6149999999999995E-5</v>
      </c>
      <c r="K21" s="1">
        <f>Table1[[#This Row],[Energy/Cycle]]-Table1[[#This Row],[Edc]]</f>
        <v>8.1584999999999991E-4</v>
      </c>
      <c r="L21" s="1">
        <f>2*Table1[[#This Row],[E Capacitor]]/(Vin^2-(Vin-V_ripple)^2)</f>
        <v>1.1104721395151754E-3</v>
      </c>
      <c r="M21" s="1">
        <f>Table1[[#This Row],[Energy/Cycle]]-(Table1[[#This Row],[E Capacitor]]+Table1[[#This Row],[Edc]])</f>
        <v>0</v>
      </c>
      <c r="N2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5.2670209854278625</v>
      </c>
    </row>
    <row r="22" spans="1:14" x14ac:dyDescent="0.25">
      <c r="A22">
        <v>0.08</v>
      </c>
      <c r="B22">
        <f t="shared" si="0"/>
        <v>2.3519999999999999</v>
      </c>
      <c r="C22">
        <f>(Vin-Table1[[#This Row],[Vout]])*Table1[[#This Row],[Duty]]/(Frequency*Inductance)</f>
        <v>0.61824000000000012</v>
      </c>
      <c r="D22">
        <f>Irms-Table1[[#This Row],[Ripple Current (A)]]</f>
        <v>19.38176</v>
      </c>
      <c r="E22">
        <f>Irms+Table1[[#This Row],[Ripple Current (A)]]</f>
        <v>20.61824</v>
      </c>
      <c r="F22">
        <f>Table1[[#This Row],[Vout]]*(Table1[[#This Row],[Imin]]+Table1[[#This Row],[Ripple Current (A)]])</f>
        <v>47.04</v>
      </c>
      <c r="G22" s="1">
        <f>Table1[[#This Row],[Pout]]/Frequency</f>
        <v>9.4079999999999999E-4</v>
      </c>
      <c r="H22" s="1">
        <f>Table1[[#This Row],[Duty]]/Frequency</f>
        <v>1.5999999999999999E-6</v>
      </c>
      <c r="I22" s="1">
        <f>Table1[[#This Row],[Pout]]/Vin</f>
        <v>1.6</v>
      </c>
      <c r="J22" s="1">
        <f>Vin*Table1[[#This Row],[Idc]]*Table1[[#This Row],[Time On]]</f>
        <v>7.526399999999999E-5</v>
      </c>
      <c r="K22" s="1">
        <f>Table1[[#This Row],[Energy/Cycle]]-Table1[[#This Row],[Edc]]</f>
        <v>8.6553599999999997E-4</v>
      </c>
      <c r="L22" s="1">
        <f>2*Table1[[#This Row],[E Capacitor]]/(Vin^2-(Vin-V_ripple)^2)</f>
        <v>1.1781008932370007E-3</v>
      </c>
      <c r="M22" s="1">
        <f>Table1[[#This Row],[Energy/Cycle]]-(Table1[[#This Row],[E Capacitor]]+Table1[[#This Row],[Edc]])</f>
        <v>0</v>
      </c>
      <c r="N2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5.4249246490678553</v>
      </c>
    </row>
    <row r="23" spans="1:14" x14ac:dyDescent="0.25">
      <c r="A23">
        <v>8.5000000000000006E-2</v>
      </c>
      <c r="B23">
        <f t="shared" si="0"/>
        <v>2.4990000000000001</v>
      </c>
      <c r="C23">
        <f>(Vin-Table1[[#This Row],[Vout]])*Table1[[#This Row],[Duty]]/(Frequency*Inductance)</f>
        <v>0.65331000000000006</v>
      </c>
      <c r="D23">
        <f>Irms-Table1[[#This Row],[Ripple Current (A)]]</f>
        <v>19.346689999999999</v>
      </c>
      <c r="E23">
        <f>Irms+Table1[[#This Row],[Ripple Current (A)]]</f>
        <v>20.653310000000001</v>
      </c>
      <c r="F23">
        <f>Table1[[#This Row],[Vout]]*(Table1[[#This Row],[Imin]]+Table1[[#This Row],[Ripple Current (A)]])</f>
        <v>49.980000000000004</v>
      </c>
      <c r="G23" s="1">
        <f>Table1[[#This Row],[Pout]]/Frequency</f>
        <v>9.9960000000000001E-4</v>
      </c>
      <c r="H23" s="1">
        <f>Table1[[#This Row],[Duty]]/Frequency</f>
        <v>1.7E-6</v>
      </c>
      <c r="I23" s="1">
        <f>Table1[[#This Row],[Pout]]/Vin</f>
        <v>1.7000000000000002</v>
      </c>
      <c r="J23" s="1">
        <f>Vin*Table1[[#This Row],[Idc]]*Table1[[#This Row],[Time On]]</f>
        <v>8.4966000000000013E-5</v>
      </c>
      <c r="K23" s="1">
        <f>Table1[[#This Row],[Energy/Cycle]]-Table1[[#This Row],[Edc]]</f>
        <v>9.14634E-4</v>
      </c>
      <c r="L23" s="1">
        <f>2*Table1[[#This Row],[E Capacitor]]/(Vin^2-(Vin-V_ripple)^2)</f>
        <v>1.244929306678094E-3</v>
      </c>
      <c r="M23" s="1">
        <f>Table1[[#This Row],[Energy/Cycle]]-(Table1[[#This Row],[E Capacitor]]+Table1[[#This Row],[Edc]])</f>
        <v>0</v>
      </c>
      <c r="N2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5.5765497341914294</v>
      </c>
    </row>
    <row r="24" spans="1:14" x14ac:dyDescent="0.25">
      <c r="A24">
        <v>0.09</v>
      </c>
      <c r="B24">
        <f t="shared" si="0"/>
        <v>2.6459999999999999</v>
      </c>
      <c r="C24">
        <f>(Vin-Table1[[#This Row],[Vout]])*Table1[[#This Row],[Duty]]/(Frequency*Inductance)</f>
        <v>0.68796000000000002</v>
      </c>
      <c r="D24">
        <f>Irms-Table1[[#This Row],[Ripple Current (A)]]</f>
        <v>19.31204</v>
      </c>
      <c r="E24">
        <f>Irms+Table1[[#This Row],[Ripple Current (A)]]</f>
        <v>20.68796</v>
      </c>
      <c r="F24">
        <f>Table1[[#This Row],[Vout]]*(Table1[[#This Row],[Imin]]+Table1[[#This Row],[Ripple Current (A)]])</f>
        <v>52.92</v>
      </c>
      <c r="G24" s="1">
        <f>Table1[[#This Row],[Pout]]/Frequency</f>
        <v>1.0584000000000001E-3</v>
      </c>
      <c r="H24" s="1">
        <f>Table1[[#This Row],[Duty]]/Frequency</f>
        <v>1.7999999999999999E-6</v>
      </c>
      <c r="I24" s="1">
        <f>Table1[[#This Row],[Pout]]/Vin</f>
        <v>1.8</v>
      </c>
      <c r="J24" s="1">
        <f>Vin*Table1[[#This Row],[Idc]]*Table1[[#This Row],[Time On]]</f>
        <v>9.5255999999999997E-5</v>
      </c>
      <c r="K24" s="1">
        <f>Table1[[#This Row],[Energy/Cycle]]-Table1[[#This Row],[Edc]]</f>
        <v>9.631440000000002E-4</v>
      </c>
      <c r="L24" s="1">
        <f>2*Table1[[#This Row],[E Capacitor]]/(Vin^2-(Vin-V_ripple)^2)</f>
        <v>1.3109573798384562E-3</v>
      </c>
      <c r="M24" s="1">
        <f>Table1[[#This Row],[Energy/Cycle]]-(Table1[[#This Row],[E Capacitor]]+Table1[[#This Row],[Edc]])</f>
        <v>0</v>
      </c>
      <c r="N2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5.7223947199710015</v>
      </c>
    </row>
    <row r="25" spans="1:14" x14ac:dyDescent="0.25">
      <c r="A25">
        <v>9.5000000000000001E-2</v>
      </c>
      <c r="B25">
        <f t="shared" si="0"/>
        <v>2.7929999999999997</v>
      </c>
      <c r="C25">
        <f>(Vin-Table1[[#This Row],[Vout]])*Table1[[#This Row],[Duty]]/(Frequency*Inductance)</f>
        <v>0.72219</v>
      </c>
      <c r="D25">
        <f>Irms-Table1[[#This Row],[Ripple Current (A)]]</f>
        <v>19.277809999999999</v>
      </c>
      <c r="E25">
        <f>Irms+Table1[[#This Row],[Ripple Current (A)]]</f>
        <v>20.722190000000001</v>
      </c>
      <c r="F25">
        <f>Table1[[#This Row],[Vout]]*(Table1[[#This Row],[Imin]]+Table1[[#This Row],[Ripple Current (A)]])</f>
        <v>55.859999999999992</v>
      </c>
      <c r="G25" s="1">
        <f>Table1[[#This Row],[Pout]]/Frequency</f>
        <v>1.1171999999999998E-3</v>
      </c>
      <c r="H25" s="1">
        <f>Table1[[#This Row],[Duty]]/Frequency</f>
        <v>1.9E-6</v>
      </c>
      <c r="I25" s="1">
        <f>Table1[[#This Row],[Pout]]/Vin</f>
        <v>1.9</v>
      </c>
      <c r="J25" s="1">
        <f>Vin*Table1[[#This Row],[Idc]]*Table1[[#This Row],[Time On]]</f>
        <v>1.0613399999999998E-4</v>
      </c>
      <c r="K25" s="1">
        <f>Table1[[#This Row],[Energy/Cycle]]-Table1[[#This Row],[Edc]]</f>
        <v>1.0110659999999999E-3</v>
      </c>
      <c r="L25" s="1">
        <f>2*Table1[[#This Row],[E Capacitor]]/(Vin^2-(Vin-V_ripple)^2)</f>
        <v>1.376185112718086E-3</v>
      </c>
      <c r="M25" s="1">
        <f>Table1[[#This Row],[Energy/Cycle]]-(Table1[[#This Row],[E Capacitor]]+Table1[[#This Row],[Edc]])</f>
        <v>0</v>
      </c>
      <c r="N2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5.8628904120854504</v>
      </c>
    </row>
    <row r="26" spans="1:14" x14ac:dyDescent="0.25">
      <c r="A26">
        <v>0.1</v>
      </c>
      <c r="B26">
        <f t="shared" si="0"/>
        <v>2.94</v>
      </c>
      <c r="C26">
        <f>(Vin-Table1[[#This Row],[Vout]])*Table1[[#This Row],[Duty]]/(Frequency*Inductance)</f>
        <v>0.75600000000000012</v>
      </c>
      <c r="D26">
        <f>Irms-Table1[[#This Row],[Ripple Current (A)]]</f>
        <v>19.244</v>
      </c>
      <c r="E26">
        <f>Irms+Table1[[#This Row],[Ripple Current (A)]]</f>
        <v>20.756</v>
      </c>
      <c r="F26">
        <f>Table1[[#This Row],[Vout]]*(Table1[[#This Row],[Imin]]+Table1[[#This Row],[Ripple Current (A)]])</f>
        <v>58.8</v>
      </c>
      <c r="G26" s="1">
        <f>Table1[[#This Row],[Pout]]/Frequency</f>
        <v>1.176E-3</v>
      </c>
      <c r="H26" s="1">
        <f>Table1[[#This Row],[Duty]]/Frequency</f>
        <v>1.9999999999999999E-6</v>
      </c>
      <c r="I26" s="1">
        <f>Table1[[#This Row],[Pout]]/Vin</f>
        <v>2</v>
      </c>
      <c r="J26" s="1">
        <f>Vin*Table1[[#This Row],[Idc]]*Table1[[#This Row],[Time On]]</f>
        <v>1.1759999999999999E-4</v>
      </c>
      <c r="K26" s="1">
        <f>Table1[[#This Row],[Energy/Cycle]]-Table1[[#This Row],[Edc]]</f>
        <v>1.0583999999999999E-3</v>
      </c>
      <c r="L26" s="1">
        <f>2*Table1[[#This Row],[E Capacitor]]/(Vin^2-(Vin-V_ripple)^2)</f>
        <v>1.4406125053169844E-3</v>
      </c>
      <c r="M26" s="1">
        <f>Table1[[#This Row],[Energy/Cycle]]-(Table1[[#This Row],[E Capacitor]]+Table1[[#This Row],[Edc]])</f>
        <v>0</v>
      </c>
      <c r="N2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5.9984121899049248</v>
      </c>
    </row>
    <row r="27" spans="1:14" x14ac:dyDescent="0.25">
      <c r="A27">
        <v>0.105</v>
      </c>
      <c r="B27">
        <f t="shared" si="0"/>
        <v>3.0869999999999997</v>
      </c>
      <c r="C27">
        <f>(Vin-Table1[[#This Row],[Vout]])*Table1[[#This Row],[Duty]]/(Frequency*Inductance)</f>
        <v>0.78939000000000004</v>
      </c>
      <c r="D27">
        <f>Irms-Table1[[#This Row],[Ripple Current (A)]]</f>
        <v>19.210609999999999</v>
      </c>
      <c r="E27">
        <f>Irms+Table1[[#This Row],[Ripple Current (A)]]</f>
        <v>20.789390000000001</v>
      </c>
      <c r="F27">
        <f>Table1[[#This Row],[Vout]]*(Table1[[#This Row],[Imin]]+Table1[[#This Row],[Ripple Current (A)]])</f>
        <v>61.739999999999995</v>
      </c>
      <c r="G27" s="1">
        <f>Table1[[#This Row],[Pout]]/Frequency</f>
        <v>1.2347999999999999E-3</v>
      </c>
      <c r="H27" s="1">
        <f>Table1[[#This Row],[Duty]]/Frequency</f>
        <v>2.0999999999999998E-6</v>
      </c>
      <c r="I27" s="1">
        <f>Table1[[#This Row],[Pout]]/Vin</f>
        <v>2.1</v>
      </c>
      <c r="J27" s="1">
        <f>Vin*Table1[[#This Row],[Idc]]*Table1[[#This Row],[Time On]]</f>
        <v>1.2965399999999999E-4</v>
      </c>
      <c r="K27" s="1">
        <f>Table1[[#This Row],[Energy/Cycle]]-Table1[[#This Row],[Edc]]</f>
        <v>1.105146E-3</v>
      </c>
      <c r="L27" s="1">
        <f>2*Table1[[#This Row],[E Capacitor]]/(Vin^2-(Vin-V_ripple)^2)</f>
        <v>1.5042395576351513E-3</v>
      </c>
      <c r="M27" s="1">
        <f>Table1[[#This Row],[Energy/Cycle]]-(Table1[[#This Row],[E Capacitor]]+Table1[[#This Row],[Edc]])</f>
        <v>0</v>
      </c>
      <c r="N2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6.1292895363146691</v>
      </c>
    </row>
    <row r="28" spans="1:14" x14ac:dyDescent="0.25">
      <c r="A28">
        <v>0.11</v>
      </c>
      <c r="B28">
        <f t="shared" si="0"/>
        <v>3.234</v>
      </c>
      <c r="C28">
        <f>(Vin-Table1[[#This Row],[Vout]])*Table1[[#This Row],[Duty]]/(Frequency*Inductance)</f>
        <v>0.82235999999999998</v>
      </c>
      <c r="D28">
        <f>Irms-Table1[[#This Row],[Ripple Current (A)]]</f>
        <v>19.17764</v>
      </c>
      <c r="E28">
        <f>Irms+Table1[[#This Row],[Ripple Current (A)]]</f>
        <v>20.82236</v>
      </c>
      <c r="F28">
        <f>Table1[[#This Row],[Vout]]*(Table1[[#This Row],[Imin]]+Table1[[#This Row],[Ripple Current (A)]])</f>
        <v>64.680000000000007</v>
      </c>
      <c r="G28" s="1">
        <f>Table1[[#This Row],[Pout]]/Frequency</f>
        <v>1.2936000000000002E-3</v>
      </c>
      <c r="H28" s="1">
        <f>Table1[[#This Row],[Duty]]/Frequency</f>
        <v>2.2000000000000001E-6</v>
      </c>
      <c r="I28" s="1">
        <f>Table1[[#This Row],[Pout]]/Vin</f>
        <v>2.2000000000000002</v>
      </c>
      <c r="J28" s="1">
        <f>Vin*Table1[[#This Row],[Idc]]*Table1[[#This Row],[Time On]]</f>
        <v>1.4229600000000003E-4</v>
      </c>
      <c r="K28" s="1">
        <f>Table1[[#This Row],[Energy/Cycle]]-Table1[[#This Row],[Edc]]</f>
        <v>1.1513040000000001E-3</v>
      </c>
      <c r="L28" s="1">
        <f>2*Table1[[#This Row],[E Capacitor]]/(Vin^2-(Vin-V_ripple)^2)</f>
        <v>1.5670662696725868E-3</v>
      </c>
      <c r="M28" s="1">
        <f>Table1[[#This Row],[Energy/Cycle]]-(Table1[[#This Row],[E Capacitor]]+Table1[[#This Row],[Edc]])</f>
        <v>0</v>
      </c>
      <c r="N2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6.2558135533636241</v>
      </c>
    </row>
    <row r="29" spans="1:14" x14ac:dyDescent="0.25">
      <c r="A29">
        <v>0.115</v>
      </c>
      <c r="B29">
        <f t="shared" si="0"/>
        <v>3.3809999999999998</v>
      </c>
      <c r="C29">
        <f>(Vin-Table1[[#This Row],[Vout]])*Table1[[#This Row],[Duty]]/(Frequency*Inductance)</f>
        <v>0.85491000000000017</v>
      </c>
      <c r="D29">
        <f>Irms-Table1[[#This Row],[Ripple Current (A)]]</f>
        <v>19.14509</v>
      </c>
      <c r="E29">
        <f>Irms+Table1[[#This Row],[Ripple Current (A)]]</f>
        <v>20.85491</v>
      </c>
      <c r="F29">
        <f>Table1[[#This Row],[Vout]]*(Table1[[#This Row],[Imin]]+Table1[[#This Row],[Ripple Current (A)]])</f>
        <v>67.61999999999999</v>
      </c>
      <c r="G29" s="1">
        <f>Table1[[#This Row],[Pout]]/Frequency</f>
        <v>1.3523999999999999E-3</v>
      </c>
      <c r="H29" s="1">
        <f>Table1[[#This Row],[Duty]]/Frequency</f>
        <v>2.3E-6</v>
      </c>
      <c r="I29" s="1">
        <f>Table1[[#This Row],[Pout]]/Vin</f>
        <v>2.2999999999999998</v>
      </c>
      <c r="J29" s="1">
        <f>Vin*Table1[[#This Row],[Idc]]*Table1[[#This Row],[Time On]]</f>
        <v>1.5552599999999999E-4</v>
      </c>
      <c r="K29" s="1">
        <f>Table1[[#This Row],[Energy/Cycle]]-Table1[[#This Row],[Edc]]</f>
        <v>1.1968739999999999E-3</v>
      </c>
      <c r="L29" s="1">
        <f>2*Table1[[#This Row],[E Capacitor]]/(Vin^2-(Vin-V_ripple)^2)</f>
        <v>1.6290926414292898E-3</v>
      </c>
      <c r="M29" s="1">
        <f>Table1[[#This Row],[Energy/Cycle]]-(Table1[[#This Row],[E Capacitor]]+Table1[[#This Row],[Edc]])</f>
        <v>0</v>
      </c>
      <c r="N2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6.3782429613640064</v>
      </c>
    </row>
    <row r="30" spans="1:14" x14ac:dyDescent="0.25">
      <c r="A30">
        <v>0.12</v>
      </c>
      <c r="B30">
        <f t="shared" si="0"/>
        <v>3.5279999999999996</v>
      </c>
      <c r="C30">
        <f>(Vin-Table1[[#This Row],[Vout]])*Table1[[#This Row],[Duty]]/(Frequency*Inductance)</f>
        <v>0.88704000000000005</v>
      </c>
      <c r="D30">
        <f>Irms-Table1[[#This Row],[Ripple Current (A)]]</f>
        <v>19.112960000000001</v>
      </c>
      <c r="E30">
        <f>Irms+Table1[[#This Row],[Ripple Current (A)]]</f>
        <v>20.887039999999999</v>
      </c>
      <c r="F30">
        <f>Table1[[#This Row],[Vout]]*(Table1[[#This Row],[Imin]]+Table1[[#This Row],[Ripple Current (A)]])</f>
        <v>70.559999999999988</v>
      </c>
      <c r="G30" s="1">
        <f>Table1[[#This Row],[Pout]]/Frequency</f>
        <v>1.4111999999999998E-3</v>
      </c>
      <c r="H30" s="1">
        <f>Table1[[#This Row],[Duty]]/Frequency</f>
        <v>2.3999999999999999E-6</v>
      </c>
      <c r="I30" s="1">
        <f>Table1[[#This Row],[Pout]]/Vin</f>
        <v>2.4</v>
      </c>
      <c r="J30" s="1">
        <f>Vin*Table1[[#This Row],[Idc]]*Table1[[#This Row],[Time On]]</f>
        <v>1.6934399999999996E-4</v>
      </c>
      <c r="K30" s="1">
        <f>Table1[[#This Row],[Energy/Cycle]]-Table1[[#This Row],[Edc]]</f>
        <v>1.2418559999999999E-3</v>
      </c>
      <c r="L30" s="1">
        <f>2*Table1[[#This Row],[E Capacitor]]/(Vin^2-(Vin-V_ripple)^2)</f>
        <v>1.6903186729052618E-3</v>
      </c>
      <c r="M30" s="1">
        <f>Table1[[#This Row],[Energy/Cycle]]-(Table1[[#This Row],[E Capacitor]]+Table1[[#This Row],[Edc]])</f>
        <v>0</v>
      </c>
      <c r="N3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6.4968089398978019</v>
      </c>
    </row>
    <row r="31" spans="1:14" x14ac:dyDescent="0.25">
      <c r="A31">
        <v>0.125</v>
      </c>
      <c r="B31">
        <f t="shared" si="0"/>
        <v>3.6749999999999998</v>
      </c>
      <c r="C31">
        <f>(Vin-Table1[[#This Row],[Vout]])*Table1[[#This Row],[Duty]]/(Frequency*Inductance)</f>
        <v>0.91875000000000007</v>
      </c>
      <c r="D31">
        <f>Irms-Table1[[#This Row],[Ripple Current (A)]]</f>
        <v>19.081250000000001</v>
      </c>
      <c r="E31">
        <f>Irms+Table1[[#This Row],[Ripple Current (A)]]</f>
        <v>20.918749999999999</v>
      </c>
      <c r="F31">
        <f>Table1[[#This Row],[Vout]]*(Table1[[#This Row],[Imin]]+Table1[[#This Row],[Ripple Current (A)]])</f>
        <v>73.5</v>
      </c>
      <c r="G31" s="1">
        <f>Table1[[#This Row],[Pout]]/Frequency</f>
        <v>1.47E-3</v>
      </c>
      <c r="H31" s="1">
        <f>Table1[[#This Row],[Duty]]/Frequency</f>
        <v>2.5000000000000002E-6</v>
      </c>
      <c r="I31" s="1">
        <f>Table1[[#This Row],[Pout]]/Vin</f>
        <v>2.5</v>
      </c>
      <c r="J31" s="1">
        <f>Vin*Table1[[#This Row],[Idc]]*Table1[[#This Row],[Time On]]</f>
        <v>1.8375000000000002E-4</v>
      </c>
      <c r="K31" s="1">
        <f>Table1[[#This Row],[Energy/Cycle]]-Table1[[#This Row],[Edc]]</f>
        <v>1.2862499999999999E-3</v>
      </c>
      <c r="L31" s="1">
        <f>2*Table1[[#This Row],[E Capacitor]]/(Vin^2-(Vin-V_ripple)^2)</f>
        <v>1.7507443641005017E-3</v>
      </c>
      <c r="M31" s="1">
        <f>Table1[[#This Row],[Energy/Cycle]]-(Table1[[#This Row],[E Capacitor]]+Table1[[#This Row],[Edc]])</f>
        <v>0</v>
      </c>
      <c r="N3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6.6117190730975937</v>
      </c>
    </row>
    <row r="32" spans="1:14" x14ac:dyDescent="0.25">
      <c r="A32">
        <v>0.13</v>
      </c>
      <c r="B32">
        <f t="shared" si="0"/>
        <v>3.8220000000000001</v>
      </c>
      <c r="C32">
        <f>(Vin-Table1[[#This Row],[Vout]])*Table1[[#This Row],[Duty]]/(Frequency*Inductance)</f>
        <v>0.95004000000000022</v>
      </c>
      <c r="D32">
        <f>Irms-Table1[[#This Row],[Ripple Current (A)]]</f>
        <v>19.049959999999999</v>
      </c>
      <c r="E32">
        <f>Irms+Table1[[#This Row],[Ripple Current (A)]]</f>
        <v>20.950040000000001</v>
      </c>
      <c r="F32">
        <f>Table1[[#This Row],[Vout]]*(Table1[[#This Row],[Imin]]+Table1[[#This Row],[Ripple Current (A)]])</f>
        <v>76.44</v>
      </c>
      <c r="G32" s="1">
        <f>Table1[[#This Row],[Pout]]/Frequency</f>
        <v>1.5287999999999999E-3</v>
      </c>
      <c r="H32" s="1">
        <f>Table1[[#This Row],[Duty]]/Frequency</f>
        <v>2.6000000000000001E-6</v>
      </c>
      <c r="I32" s="1">
        <f>Table1[[#This Row],[Pout]]/Vin</f>
        <v>2.6</v>
      </c>
      <c r="J32" s="1">
        <f>Vin*Table1[[#This Row],[Idc]]*Table1[[#This Row],[Time On]]</f>
        <v>1.9874399999999999E-4</v>
      </c>
      <c r="K32" s="1">
        <f>Table1[[#This Row],[Energy/Cycle]]-Table1[[#This Row],[Edc]]</f>
        <v>1.3300559999999998E-3</v>
      </c>
      <c r="L32" s="1">
        <f>2*Table1[[#This Row],[E Capacitor]]/(Vin^2-(Vin-V_ripple)^2)</f>
        <v>1.8103697150150103E-3</v>
      </c>
      <c r="M32" s="1">
        <f>Table1[[#This Row],[Energy/Cycle]]-(Table1[[#This Row],[E Capacitor]]+Table1[[#This Row],[Edc]])</f>
        <v>0</v>
      </c>
      <c r="N3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6.7231605940408699</v>
      </c>
    </row>
    <row r="33" spans="1:14" x14ac:dyDescent="0.25">
      <c r="A33">
        <v>0.13500000000000001</v>
      </c>
      <c r="B33">
        <f t="shared" si="0"/>
        <v>3.9689999999999999</v>
      </c>
      <c r="C33">
        <f>(Vin-Table1[[#This Row],[Vout]])*Table1[[#This Row],[Duty]]/(Frequency*Inductance)</f>
        <v>0.98091000000000006</v>
      </c>
      <c r="D33">
        <f>Irms-Table1[[#This Row],[Ripple Current (A)]]</f>
        <v>19.019089999999998</v>
      </c>
      <c r="E33">
        <f>Irms+Table1[[#This Row],[Ripple Current (A)]]</f>
        <v>20.980910000000002</v>
      </c>
      <c r="F33">
        <f>Table1[[#This Row],[Vout]]*(Table1[[#This Row],[Imin]]+Table1[[#This Row],[Ripple Current (A)]])</f>
        <v>79.38</v>
      </c>
      <c r="G33" s="1">
        <f>Table1[[#This Row],[Pout]]/Frequency</f>
        <v>1.5876E-3</v>
      </c>
      <c r="H33" s="1">
        <f>Table1[[#This Row],[Duty]]/Frequency</f>
        <v>2.7E-6</v>
      </c>
      <c r="I33" s="1">
        <f>Table1[[#This Row],[Pout]]/Vin</f>
        <v>2.7</v>
      </c>
      <c r="J33" s="1">
        <f>Vin*Table1[[#This Row],[Idc]]*Table1[[#This Row],[Time On]]</f>
        <v>2.1432599999999998E-4</v>
      </c>
      <c r="K33" s="1">
        <f>Table1[[#This Row],[Energy/Cycle]]-Table1[[#This Row],[Edc]]</f>
        <v>1.3732740000000001E-3</v>
      </c>
      <c r="L33" s="1">
        <f>2*Table1[[#This Row],[E Capacitor]]/(Vin^2-(Vin-V_ripple)^2)</f>
        <v>1.8691947256487876E-3</v>
      </c>
      <c r="M33" s="1">
        <f>Table1[[#This Row],[Energy/Cycle]]-(Table1[[#This Row],[E Capacitor]]+Table1[[#This Row],[Edc]])</f>
        <v>0</v>
      </c>
      <c r="N3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6.8313030748705259</v>
      </c>
    </row>
    <row r="34" spans="1:14" x14ac:dyDescent="0.25">
      <c r="A34">
        <v>0.14000000000000001</v>
      </c>
      <c r="B34">
        <f t="shared" si="0"/>
        <v>4.1160000000000005</v>
      </c>
      <c r="C34">
        <f>(Vin-Table1[[#This Row],[Vout]])*Table1[[#This Row],[Duty]]/(Frequency*Inductance)</f>
        <v>1.0113600000000003</v>
      </c>
      <c r="D34">
        <f>Irms-Table1[[#This Row],[Ripple Current (A)]]</f>
        <v>18.98864</v>
      </c>
      <c r="E34">
        <f>Irms+Table1[[#This Row],[Ripple Current (A)]]</f>
        <v>21.01136</v>
      </c>
      <c r="F34">
        <f>Table1[[#This Row],[Vout]]*(Table1[[#This Row],[Imin]]+Table1[[#This Row],[Ripple Current (A)]])</f>
        <v>82.320000000000007</v>
      </c>
      <c r="G34" s="1">
        <f>Table1[[#This Row],[Pout]]/Frequency</f>
        <v>1.6464000000000001E-3</v>
      </c>
      <c r="H34" s="1">
        <f>Table1[[#This Row],[Duty]]/Frequency</f>
        <v>2.8000000000000003E-6</v>
      </c>
      <c r="I34" s="1">
        <f>Table1[[#This Row],[Pout]]/Vin</f>
        <v>2.8000000000000003</v>
      </c>
      <c r="J34" s="1">
        <f>Vin*Table1[[#This Row],[Idc]]*Table1[[#This Row],[Time On]]</f>
        <v>2.3049600000000004E-4</v>
      </c>
      <c r="K34" s="1">
        <f>Table1[[#This Row],[Energy/Cycle]]-Table1[[#This Row],[Edc]]</f>
        <v>1.4159040000000002E-3</v>
      </c>
      <c r="L34" s="1">
        <f>2*Table1[[#This Row],[E Capacitor]]/(Vin^2-(Vin-V_ripple)^2)</f>
        <v>1.9272193960018329E-3</v>
      </c>
      <c r="M34" s="1">
        <f>Table1[[#This Row],[Energy/Cycle]]-(Table1[[#This Row],[E Capacitor]]+Table1[[#This Row],[Edc]])</f>
        <v>0</v>
      </c>
      <c r="N3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6.9363006743041353</v>
      </c>
    </row>
    <row r="35" spans="1:14" x14ac:dyDescent="0.25">
      <c r="A35">
        <v>0.14499999999999999</v>
      </c>
      <c r="B35">
        <f t="shared" si="0"/>
        <v>4.2629999999999999</v>
      </c>
      <c r="C35">
        <f>(Vin-Table1[[#This Row],[Vout]])*Table1[[#This Row],[Duty]]/(Frequency*Inductance)</f>
        <v>1.04139</v>
      </c>
      <c r="D35">
        <f>Irms-Table1[[#This Row],[Ripple Current (A)]]</f>
        <v>18.95861</v>
      </c>
      <c r="E35">
        <f>Irms+Table1[[#This Row],[Ripple Current (A)]]</f>
        <v>21.04139</v>
      </c>
      <c r="F35">
        <f>Table1[[#This Row],[Vout]]*(Table1[[#This Row],[Imin]]+Table1[[#This Row],[Ripple Current (A)]])</f>
        <v>85.259999999999991</v>
      </c>
      <c r="G35" s="1">
        <f>Table1[[#This Row],[Pout]]/Frequency</f>
        <v>1.7051999999999998E-3</v>
      </c>
      <c r="H35" s="1">
        <f>Table1[[#This Row],[Duty]]/Frequency</f>
        <v>2.8999999999999998E-6</v>
      </c>
      <c r="I35" s="1">
        <f>Table1[[#This Row],[Pout]]/Vin</f>
        <v>2.9</v>
      </c>
      <c r="J35" s="1">
        <f>Vin*Table1[[#This Row],[Idc]]*Table1[[#This Row],[Time On]]</f>
        <v>2.4725399999999997E-4</v>
      </c>
      <c r="K35" s="1">
        <f>Table1[[#This Row],[Energy/Cycle]]-Table1[[#This Row],[Edc]]</f>
        <v>1.4579459999999999E-3</v>
      </c>
      <c r="L35" s="1">
        <f>2*Table1[[#This Row],[E Capacitor]]/(Vin^2-(Vin-V_ripple)^2)</f>
        <v>1.9844437260741459E-3</v>
      </c>
      <c r="M35" s="1">
        <f>Table1[[#This Row],[Energy/Cycle]]-(Table1[[#This Row],[E Capacitor]]+Table1[[#This Row],[Edc]])</f>
        <v>0</v>
      </c>
      <c r="N3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7.0382940285234259</v>
      </c>
    </row>
    <row r="36" spans="1:14" x14ac:dyDescent="0.25">
      <c r="A36">
        <v>0.15</v>
      </c>
      <c r="B36">
        <f t="shared" si="0"/>
        <v>4.4099999999999993</v>
      </c>
      <c r="C36">
        <f>(Vin-Table1[[#This Row],[Vout]])*Table1[[#This Row],[Duty]]/(Frequency*Inductance)</f>
        <v>1.071</v>
      </c>
      <c r="D36">
        <f>Irms-Table1[[#This Row],[Ripple Current (A)]]</f>
        <v>18.928999999999998</v>
      </c>
      <c r="E36">
        <f>Irms+Table1[[#This Row],[Ripple Current (A)]]</f>
        <v>21.071000000000002</v>
      </c>
      <c r="F36">
        <f>Table1[[#This Row],[Vout]]*(Table1[[#This Row],[Imin]]+Table1[[#This Row],[Ripple Current (A)]])</f>
        <v>88.199999999999989</v>
      </c>
      <c r="G36" s="1">
        <f>Table1[[#This Row],[Pout]]/Frequency</f>
        <v>1.7639999999999997E-3</v>
      </c>
      <c r="H36" s="1">
        <f>Table1[[#This Row],[Duty]]/Frequency</f>
        <v>3.0000000000000001E-6</v>
      </c>
      <c r="I36" s="1">
        <f>Table1[[#This Row],[Pout]]/Vin</f>
        <v>2.9999999999999996</v>
      </c>
      <c r="J36" s="1">
        <f>Vin*Table1[[#This Row],[Idc]]*Table1[[#This Row],[Time On]]</f>
        <v>2.6459999999999998E-4</v>
      </c>
      <c r="K36" s="1">
        <f>Table1[[#This Row],[Energy/Cycle]]-Table1[[#This Row],[Edc]]</f>
        <v>1.4993999999999997E-3</v>
      </c>
      <c r="L36" s="1">
        <f>2*Table1[[#This Row],[E Capacitor]]/(Vin^2-(Vin-V_ripple)^2)</f>
        <v>2.0408677158657278E-3</v>
      </c>
      <c r="M36" s="1">
        <f>Table1[[#This Row],[Energy/Cycle]]-(Table1[[#This Row],[E Capacitor]]+Table1[[#This Row],[Edc]])</f>
        <v>0</v>
      </c>
      <c r="N3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7.137411852345358</v>
      </c>
    </row>
    <row r="37" spans="1:14" x14ac:dyDescent="0.25">
      <c r="A37">
        <v>0.155</v>
      </c>
      <c r="B37">
        <f t="shared" si="0"/>
        <v>4.5569999999999995</v>
      </c>
      <c r="C37">
        <f>(Vin-Table1[[#This Row],[Vout]])*Table1[[#This Row],[Duty]]/(Frequency*Inductance)</f>
        <v>1.10019</v>
      </c>
      <c r="D37">
        <f>Irms-Table1[[#This Row],[Ripple Current (A)]]</f>
        <v>18.899809999999999</v>
      </c>
      <c r="E37">
        <f>Irms+Table1[[#This Row],[Ripple Current (A)]]</f>
        <v>21.100190000000001</v>
      </c>
      <c r="F37">
        <f>Table1[[#This Row],[Vout]]*(Table1[[#This Row],[Imin]]+Table1[[#This Row],[Ripple Current (A)]])</f>
        <v>91.139999999999986</v>
      </c>
      <c r="G37" s="1">
        <f>Table1[[#This Row],[Pout]]/Frequency</f>
        <v>1.8227999999999996E-3</v>
      </c>
      <c r="H37" s="1">
        <f>Table1[[#This Row],[Duty]]/Frequency</f>
        <v>3.1E-6</v>
      </c>
      <c r="I37" s="1">
        <f>Table1[[#This Row],[Pout]]/Vin</f>
        <v>3.0999999999999996</v>
      </c>
      <c r="J37" s="1">
        <f>Vin*Table1[[#This Row],[Idc]]*Table1[[#This Row],[Time On]]</f>
        <v>2.8253399999999998E-4</v>
      </c>
      <c r="K37" s="1">
        <f>Table1[[#This Row],[Energy/Cycle]]-Table1[[#This Row],[Edc]]</f>
        <v>1.5402659999999998E-3</v>
      </c>
      <c r="L37" s="1">
        <f>2*Table1[[#This Row],[E Capacitor]]/(Vin^2-(Vin-V_ripple)^2)</f>
        <v>2.0964913653765782E-3</v>
      </c>
      <c r="M37" s="1">
        <f>Table1[[#This Row],[Energy/Cycle]]-(Table1[[#This Row],[E Capacitor]]+Table1[[#This Row],[Edc]])</f>
        <v>0</v>
      </c>
      <c r="N3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7.2337723032178376</v>
      </c>
    </row>
    <row r="38" spans="1:14" x14ac:dyDescent="0.25">
      <c r="A38">
        <v>0.16</v>
      </c>
      <c r="B38">
        <f t="shared" si="0"/>
        <v>4.7039999999999997</v>
      </c>
      <c r="C38">
        <f>(Vin-Table1[[#This Row],[Vout]])*Table1[[#This Row],[Duty]]/(Frequency*Inductance)</f>
        <v>1.1289600000000002</v>
      </c>
      <c r="D38">
        <f>Irms-Table1[[#This Row],[Ripple Current (A)]]</f>
        <v>18.871040000000001</v>
      </c>
      <c r="E38">
        <f>Irms+Table1[[#This Row],[Ripple Current (A)]]</f>
        <v>21.128959999999999</v>
      </c>
      <c r="F38">
        <f>Table1[[#This Row],[Vout]]*(Table1[[#This Row],[Imin]]+Table1[[#This Row],[Ripple Current (A)]])</f>
        <v>94.08</v>
      </c>
      <c r="G38" s="1">
        <f>Table1[[#This Row],[Pout]]/Frequency</f>
        <v>1.8816E-3</v>
      </c>
      <c r="H38" s="1">
        <f>Table1[[#This Row],[Duty]]/Frequency</f>
        <v>3.1999999999999999E-6</v>
      </c>
      <c r="I38" s="1">
        <f>Table1[[#This Row],[Pout]]/Vin</f>
        <v>3.2</v>
      </c>
      <c r="J38" s="1">
        <f>Vin*Table1[[#This Row],[Idc]]*Table1[[#This Row],[Time On]]</f>
        <v>3.0105599999999996E-4</v>
      </c>
      <c r="K38" s="1">
        <f>Table1[[#This Row],[Energy/Cycle]]-Table1[[#This Row],[Edc]]</f>
        <v>1.5805440000000001E-3</v>
      </c>
      <c r="L38" s="1">
        <f>2*Table1[[#This Row],[E Capacitor]]/(Vin^2-(Vin-V_ripple)^2)</f>
        <v>2.151314674606697E-3</v>
      </c>
      <c r="M38" s="1">
        <f>Table1[[#This Row],[Energy/Cycle]]-(Table1[[#This Row],[E Capacitor]]+Table1[[#This Row],[Edc]])</f>
        <v>0</v>
      </c>
      <c r="N3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7.3274841496688348</v>
      </c>
    </row>
    <row r="39" spans="1:14" x14ac:dyDescent="0.25">
      <c r="A39">
        <v>0.16500000000000001</v>
      </c>
      <c r="B39">
        <f t="shared" ref="B39:B70" si="1">A39*Vin</f>
        <v>4.851</v>
      </c>
      <c r="C39">
        <f>(Vin-Table1[[#This Row],[Vout]])*Table1[[#This Row],[Duty]]/(Frequency*Inductance)</f>
        <v>1.1573100000000001</v>
      </c>
      <c r="D39">
        <f>Irms-Table1[[#This Row],[Ripple Current (A)]]</f>
        <v>18.842690000000001</v>
      </c>
      <c r="E39">
        <f>Irms+Table1[[#This Row],[Ripple Current (A)]]</f>
        <v>21.157309999999999</v>
      </c>
      <c r="F39">
        <f>Table1[[#This Row],[Vout]]*(Table1[[#This Row],[Imin]]+Table1[[#This Row],[Ripple Current (A)]])</f>
        <v>97.02</v>
      </c>
      <c r="G39" s="1">
        <f>Table1[[#This Row],[Pout]]/Frequency</f>
        <v>1.9403999999999999E-3</v>
      </c>
      <c r="H39" s="1">
        <f>Table1[[#This Row],[Duty]]/Frequency</f>
        <v>3.3000000000000002E-6</v>
      </c>
      <c r="I39" s="1">
        <f>Table1[[#This Row],[Pout]]/Vin</f>
        <v>3.3</v>
      </c>
      <c r="J39" s="1">
        <f>Vin*Table1[[#This Row],[Idc]]*Table1[[#This Row],[Time On]]</f>
        <v>3.2016599999999998E-4</v>
      </c>
      <c r="K39" s="1">
        <f>Table1[[#This Row],[Energy/Cycle]]-Table1[[#This Row],[Edc]]</f>
        <v>1.6202339999999999E-3</v>
      </c>
      <c r="L39" s="1">
        <f>2*Table1[[#This Row],[E Capacitor]]/(Vin^2-(Vin-V_ripple)^2)</f>
        <v>2.2053376435560838E-3</v>
      </c>
      <c r="M39" s="1">
        <f>Table1[[#This Row],[Energy/Cycle]]-(Table1[[#This Row],[E Capacitor]]+Table1[[#This Row],[Edc]])</f>
        <v>0</v>
      </c>
      <c r="N3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7.4186477774601549</v>
      </c>
    </row>
    <row r="40" spans="1:14" x14ac:dyDescent="0.25">
      <c r="A40">
        <v>0.17</v>
      </c>
      <c r="B40">
        <f t="shared" si="1"/>
        <v>4.9980000000000002</v>
      </c>
      <c r="C40">
        <f>(Vin-Table1[[#This Row],[Vout]])*Table1[[#This Row],[Duty]]/(Frequency*Inductance)</f>
        <v>1.1852400000000003</v>
      </c>
      <c r="D40">
        <f>Irms-Table1[[#This Row],[Ripple Current (A)]]</f>
        <v>18.81476</v>
      </c>
      <c r="E40">
        <f>Irms+Table1[[#This Row],[Ripple Current (A)]]</f>
        <v>21.18524</v>
      </c>
      <c r="F40">
        <f>Table1[[#This Row],[Vout]]*(Table1[[#This Row],[Imin]]+Table1[[#This Row],[Ripple Current (A)]])</f>
        <v>99.960000000000008</v>
      </c>
      <c r="G40" s="1">
        <f>Table1[[#This Row],[Pout]]/Frequency</f>
        <v>1.9992E-3</v>
      </c>
      <c r="H40" s="1">
        <f>Table1[[#This Row],[Duty]]/Frequency</f>
        <v>3.4000000000000001E-6</v>
      </c>
      <c r="I40" s="1">
        <f>Table1[[#This Row],[Pout]]/Vin</f>
        <v>3.4000000000000004</v>
      </c>
      <c r="J40" s="1">
        <f>Vin*Table1[[#This Row],[Idc]]*Table1[[#This Row],[Time On]]</f>
        <v>3.3986400000000005E-4</v>
      </c>
      <c r="K40" s="1">
        <f>Table1[[#This Row],[Energy/Cycle]]-Table1[[#This Row],[Edc]]</f>
        <v>1.659336E-3</v>
      </c>
      <c r="L40" s="1">
        <f>2*Table1[[#This Row],[E Capacitor]]/(Vin^2-(Vin-V_ripple)^2)</f>
        <v>2.258560272224739E-3</v>
      </c>
      <c r="M40" s="1">
        <f>Table1[[#This Row],[Energy/Cycle]]-(Table1[[#This Row],[E Capacitor]]+Table1[[#This Row],[Edc]])</f>
        <v>0</v>
      </c>
      <c r="N4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7.5073560602076155</v>
      </c>
    </row>
    <row r="41" spans="1:14" x14ac:dyDescent="0.25">
      <c r="A41">
        <v>0.17499999999999999</v>
      </c>
      <c r="B41">
        <f t="shared" si="1"/>
        <v>5.1449999999999996</v>
      </c>
      <c r="C41">
        <f>(Vin-Table1[[#This Row],[Vout]])*Table1[[#This Row],[Duty]]/(Frequency*Inductance)</f>
        <v>1.21275</v>
      </c>
      <c r="D41">
        <f>Irms-Table1[[#This Row],[Ripple Current (A)]]</f>
        <v>18.78725</v>
      </c>
      <c r="E41">
        <f>Irms+Table1[[#This Row],[Ripple Current (A)]]</f>
        <v>21.21275</v>
      </c>
      <c r="F41">
        <f>Table1[[#This Row],[Vout]]*(Table1[[#This Row],[Imin]]+Table1[[#This Row],[Ripple Current (A)]])</f>
        <v>102.89999999999999</v>
      </c>
      <c r="G41" s="1">
        <f>Table1[[#This Row],[Pout]]/Frequency</f>
        <v>2.0579999999999999E-3</v>
      </c>
      <c r="H41" s="1">
        <f>Table1[[#This Row],[Duty]]/Frequency</f>
        <v>3.4999999999999999E-6</v>
      </c>
      <c r="I41" s="1">
        <f>Table1[[#This Row],[Pout]]/Vin</f>
        <v>3.5</v>
      </c>
      <c r="J41" s="1">
        <f>Vin*Table1[[#This Row],[Idc]]*Table1[[#This Row],[Time On]]</f>
        <v>3.6014999999999995E-4</v>
      </c>
      <c r="K41" s="1">
        <f>Table1[[#This Row],[Energy/Cycle]]-Table1[[#This Row],[Edc]]</f>
        <v>1.6978499999999999E-3</v>
      </c>
      <c r="L41" s="1">
        <f>2*Table1[[#This Row],[E Capacitor]]/(Vin^2-(Vin-V_ripple)^2)</f>
        <v>2.3109825606126627E-3</v>
      </c>
      <c r="M41" s="1">
        <f>Table1[[#This Row],[Energy/Cycle]]-(Table1[[#This Row],[E Capacitor]]+Table1[[#This Row],[Edc]])</f>
        <v>0</v>
      </c>
      <c r="N4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7.5936951161596884</v>
      </c>
    </row>
    <row r="42" spans="1:14" x14ac:dyDescent="0.25">
      <c r="A42">
        <v>0.18</v>
      </c>
      <c r="B42">
        <f t="shared" si="1"/>
        <v>5.2919999999999998</v>
      </c>
      <c r="C42">
        <f>(Vin-Table1[[#This Row],[Vout]])*Table1[[#This Row],[Duty]]/(Frequency*Inductance)</f>
        <v>1.2398399999999998</v>
      </c>
      <c r="D42">
        <f>Irms-Table1[[#This Row],[Ripple Current (A)]]</f>
        <v>18.760159999999999</v>
      </c>
      <c r="E42">
        <f>Irms+Table1[[#This Row],[Ripple Current (A)]]</f>
        <v>21.239840000000001</v>
      </c>
      <c r="F42">
        <f>Table1[[#This Row],[Vout]]*(Table1[[#This Row],[Imin]]+Table1[[#This Row],[Ripple Current (A)]])</f>
        <v>105.84</v>
      </c>
      <c r="G42" s="1">
        <f>Table1[[#This Row],[Pout]]/Frequency</f>
        <v>2.1168000000000003E-3</v>
      </c>
      <c r="H42" s="1">
        <f>Table1[[#This Row],[Duty]]/Frequency</f>
        <v>3.5999999999999998E-6</v>
      </c>
      <c r="I42" s="1">
        <f>Table1[[#This Row],[Pout]]/Vin</f>
        <v>3.6</v>
      </c>
      <c r="J42" s="1">
        <f>Vin*Table1[[#This Row],[Idc]]*Table1[[#This Row],[Time On]]</f>
        <v>3.8102399999999999E-4</v>
      </c>
      <c r="K42" s="1">
        <f>Table1[[#This Row],[Energy/Cycle]]-Table1[[#This Row],[Edc]]</f>
        <v>1.7357760000000003E-3</v>
      </c>
      <c r="L42" s="1">
        <f>2*Table1[[#This Row],[E Capacitor]]/(Vin^2-(Vin-V_ripple)^2)</f>
        <v>2.3626045087198548E-3</v>
      </c>
      <c r="M42" s="1">
        <f>Table1[[#This Row],[Energy/Cycle]]-(Table1[[#This Row],[E Capacitor]]+Table1[[#This Row],[Edc]])</f>
        <v>0</v>
      </c>
      <c r="N4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7.6777449688345332</v>
      </c>
    </row>
    <row r="43" spans="1:14" x14ac:dyDescent="0.25">
      <c r="A43">
        <v>0.185</v>
      </c>
      <c r="B43">
        <f t="shared" si="1"/>
        <v>5.4390000000000001</v>
      </c>
      <c r="C43">
        <f>(Vin-Table1[[#This Row],[Vout]])*Table1[[#This Row],[Duty]]/(Frequency*Inductance)</f>
        <v>1.2665100000000002</v>
      </c>
      <c r="D43">
        <f>Irms-Table1[[#This Row],[Ripple Current (A)]]</f>
        <v>18.73349</v>
      </c>
      <c r="E43">
        <f>Irms+Table1[[#This Row],[Ripple Current (A)]]</f>
        <v>21.26651</v>
      </c>
      <c r="F43">
        <f>Table1[[#This Row],[Vout]]*(Table1[[#This Row],[Imin]]+Table1[[#This Row],[Ripple Current (A)]])</f>
        <v>108.78</v>
      </c>
      <c r="G43" s="1">
        <f>Table1[[#This Row],[Pout]]/Frequency</f>
        <v>2.1756000000000002E-3</v>
      </c>
      <c r="H43" s="1">
        <f>Table1[[#This Row],[Duty]]/Frequency</f>
        <v>3.7000000000000002E-6</v>
      </c>
      <c r="I43" s="1">
        <f>Table1[[#This Row],[Pout]]/Vin</f>
        <v>3.7</v>
      </c>
      <c r="J43" s="1">
        <f>Vin*Table1[[#This Row],[Idc]]*Table1[[#This Row],[Time On]]</f>
        <v>4.0248600000000002E-4</v>
      </c>
      <c r="K43" s="1">
        <f>Table1[[#This Row],[Energy/Cycle]]-Table1[[#This Row],[Edc]]</f>
        <v>1.7731140000000001E-3</v>
      </c>
      <c r="L43" s="1">
        <f>2*Table1[[#This Row],[E Capacitor]]/(Vin^2-(Vin-V_ripple)^2)</f>
        <v>2.4134261165463149E-3</v>
      </c>
      <c r="M43" s="1">
        <f>Table1[[#This Row],[Energy/Cycle]]-(Table1[[#This Row],[E Capacitor]]+Table1[[#This Row],[Edc]])</f>
        <v>0</v>
      </c>
      <c r="N4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7.7595801260480908</v>
      </c>
    </row>
    <row r="44" spans="1:14" x14ac:dyDescent="0.25">
      <c r="A44">
        <v>0.19</v>
      </c>
      <c r="B44">
        <f t="shared" si="1"/>
        <v>5.5859999999999994</v>
      </c>
      <c r="C44">
        <f>(Vin-Table1[[#This Row],[Vout]])*Table1[[#This Row],[Duty]]/(Frequency*Inductance)</f>
        <v>1.2927600000000001</v>
      </c>
      <c r="D44">
        <f>Irms-Table1[[#This Row],[Ripple Current (A)]]</f>
        <v>18.707239999999999</v>
      </c>
      <c r="E44">
        <f>Irms+Table1[[#This Row],[Ripple Current (A)]]</f>
        <v>21.292760000000001</v>
      </c>
      <c r="F44">
        <f>Table1[[#This Row],[Vout]]*(Table1[[#This Row],[Imin]]+Table1[[#This Row],[Ripple Current (A)]])</f>
        <v>111.71999999999998</v>
      </c>
      <c r="G44" s="1">
        <f>Table1[[#This Row],[Pout]]/Frequency</f>
        <v>2.2343999999999997E-3</v>
      </c>
      <c r="H44" s="1">
        <f>Table1[[#This Row],[Duty]]/Frequency</f>
        <v>3.8E-6</v>
      </c>
      <c r="I44" s="1">
        <f>Table1[[#This Row],[Pout]]/Vin</f>
        <v>3.8</v>
      </c>
      <c r="J44" s="1">
        <f>Vin*Table1[[#This Row],[Idc]]*Table1[[#This Row],[Time On]]</f>
        <v>4.2453599999999993E-4</v>
      </c>
      <c r="K44" s="1">
        <f>Table1[[#This Row],[Energy/Cycle]]-Table1[[#This Row],[Edc]]</f>
        <v>1.8098639999999998E-3</v>
      </c>
      <c r="L44" s="1">
        <f>2*Table1[[#This Row],[E Capacitor]]/(Vin^2-(Vin-V_ripple)^2)</f>
        <v>2.4634473840920434E-3</v>
      </c>
      <c r="M44" s="1">
        <f>Table1[[#This Row],[Energy/Cycle]]-(Table1[[#This Row],[E Capacitor]]+Table1[[#This Row],[Edc]])</f>
        <v>0</v>
      </c>
      <c r="N4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7.8392700893356135</v>
      </c>
    </row>
    <row r="45" spans="1:14" x14ac:dyDescent="0.25">
      <c r="A45">
        <v>0.19500000000000001</v>
      </c>
      <c r="B45">
        <f t="shared" si="1"/>
        <v>5.7329999999999997</v>
      </c>
      <c r="C45">
        <f>(Vin-Table1[[#This Row],[Vout]])*Table1[[#This Row],[Duty]]/(Frequency*Inductance)</f>
        <v>1.3185899999999999</v>
      </c>
      <c r="D45">
        <f>Irms-Table1[[#This Row],[Ripple Current (A)]]</f>
        <v>18.68141</v>
      </c>
      <c r="E45">
        <f>Irms+Table1[[#This Row],[Ripple Current (A)]]</f>
        <v>21.31859</v>
      </c>
      <c r="F45">
        <f>Table1[[#This Row],[Vout]]*(Table1[[#This Row],[Imin]]+Table1[[#This Row],[Ripple Current (A)]])</f>
        <v>114.66</v>
      </c>
      <c r="G45" s="1">
        <f>Table1[[#This Row],[Pout]]/Frequency</f>
        <v>2.2932E-3</v>
      </c>
      <c r="H45" s="1">
        <f>Table1[[#This Row],[Duty]]/Frequency</f>
        <v>3.8999999999999999E-6</v>
      </c>
      <c r="I45" s="1">
        <f>Table1[[#This Row],[Pout]]/Vin</f>
        <v>3.9</v>
      </c>
      <c r="J45" s="1">
        <f>Vin*Table1[[#This Row],[Idc]]*Table1[[#This Row],[Time On]]</f>
        <v>4.47174E-4</v>
      </c>
      <c r="K45" s="1">
        <f>Table1[[#This Row],[Energy/Cycle]]-Table1[[#This Row],[Edc]]</f>
        <v>1.846026E-3</v>
      </c>
      <c r="L45" s="1">
        <f>2*Table1[[#This Row],[E Capacitor]]/(Vin^2-(Vin-V_ripple)^2)</f>
        <v>2.5126683113570404E-3</v>
      </c>
      <c r="M45" s="1">
        <f>Table1[[#This Row],[Energy/Cycle]]-(Table1[[#This Row],[E Capacitor]]+Table1[[#This Row],[Edc]])</f>
        <v>0</v>
      </c>
      <c r="N4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7.9168798037341386</v>
      </c>
    </row>
    <row r="46" spans="1:14" x14ac:dyDescent="0.25">
      <c r="A46">
        <v>0.2</v>
      </c>
      <c r="B46">
        <f t="shared" si="1"/>
        <v>5.88</v>
      </c>
      <c r="C46">
        <f>(Vin-Table1[[#This Row],[Vout]])*Table1[[#This Row],[Duty]]/(Frequency*Inductance)</f>
        <v>1.3440000000000001</v>
      </c>
      <c r="D46">
        <f>Irms-Table1[[#This Row],[Ripple Current (A)]]</f>
        <v>18.655999999999999</v>
      </c>
      <c r="E46">
        <f>Irms+Table1[[#This Row],[Ripple Current (A)]]</f>
        <v>21.344000000000001</v>
      </c>
      <c r="F46">
        <f>Table1[[#This Row],[Vout]]*(Table1[[#This Row],[Imin]]+Table1[[#This Row],[Ripple Current (A)]])</f>
        <v>117.6</v>
      </c>
      <c r="G46" s="1">
        <f>Table1[[#This Row],[Pout]]/Frequency</f>
        <v>2.3519999999999999E-3</v>
      </c>
      <c r="H46" s="1">
        <f>Table1[[#This Row],[Duty]]/Frequency</f>
        <v>3.9999999999999998E-6</v>
      </c>
      <c r="I46" s="1">
        <f>Table1[[#This Row],[Pout]]/Vin</f>
        <v>4</v>
      </c>
      <c r="J46" s="1">
        <f>Vin*Table1[[#This Row],[Idc]]*Table1[[#This Row],[Time On]]</f>
        <v>4.7039999999999994E-4</v>
      </c>
      <c r="K46" s="1">
        <f>Table1[[#This Row],[Energy/Cycle]]-Table1[[#This Row],[Edc]]</f>
        <v>1.8816E-3</v>
      </c>
      <c r="L46" s="1">
        <f>2*Table1[[#This Row],[E Capacitor]]/(Vin^2-(Vin-V_ripple)^2)</f>
        <v>2.5610888983413059E-3</v>
      </c>
      <c r="M46" s="1">
        <f>Table1[[#This Row],[Energy/Cycle]]-(Table1[[#This Row],[E Capacitor]]+Table1[[#This Row],[Edc]])</f>
        <v>0</v>
      </c>
      <c r="N4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7.9924700562466926</v>
      </c>
    </row>
    <row r="47" spans="1:14" x14ac:dyDescent="0.25">
      <c r="A47">
        <v>0.20499999999999999</v>
      </c>
      <c r="B47">
        <f t="shared" si="1"/>
        <v>6.0269999999999992</v>
      </c>
      <c r="C47">
        <f>(Vin-Table1[[#This Row],[Vout]])*Table1[[#This Row],[Duty]]/(Frequency*Inductance)</f>
        <v>1.3689900000000002</v>
      </c>
      <c r="D47">
        <f>Irms-Table1[[#This Row],[Ripple Current (A)]]</f>
        <v>18.63101</v>
      </c>
      <c r="E47">
        <f>Irms+Table1[[#This Row],[Ripple Current (A)]]</f>
        <v>21.36899</v>
      </c>
      <c r="F47">
        <f>Table1[[#This Row],[Vout]]*(Table1[[#This Row],[Imin]]+Table1[[#This Row],[Ripple Current (A)]])</f>
        <v>120.53999999999999</v>
      </c>
      <c r="G47" s="1">
        <f>Table1[[#This Row],[Pout]]/Frequency</f>
        <v>2.4107999999999998E-3</v>
      </c>
      <c r="H47" s="1">
        <f>Table1[[#This Row],[Duty]]/Frequency</f>
        <v>4.0999999999999997E-6</v>
      </c>
      <c r="I47" s="1">
        <f>Table1[[#This Row],[Pout]]/Vin</f>
        <v>4.0999999999999996</v>
      </c>
      <c r="J47" s="1">
        <f>Vin*Table1[[#This Row],[Idc]]*Table1[[#This Row],[Time On]]</f>
        <v>4.9421399999999987E-4</v>
      </c>
      <c r="K47" s="1">
        <f>Table1[[#This Row],[Energy/Cycle]]-Table1[[#This Row],[Edc]]</f>
        <v>1.9165860000000001E-3</v>
      </c>
      <c r="L47" s="1">
        <f>2*Table1[[#This Row],[E Capacitor]]/(Vin^2-(Vin-V_ripple)^2)</f>
        <v>2.6087091450448397E-3</v>
      </c>
      <c r="M47" s="1">
        <f>Table1[[#This Row],[Energy/Cycle]]-(Table1[[#This Row],[E Capacitor]]+Table1[[#This Row],[Edc]])</f>
        <v>0</v>
      </c>
      <c r="N4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8.0660978299687454</v>
      </c>
    </row>
    <row r="48" spans="1:14" x14ac:dyDescent="0.25">
      <c r="A48">
        <v>0.21</v>
      </c>
      <c r="B48">
        <f t="shared" si="1"/>
        <v>6.1739999999999995</v>
      </c>
      <c r="C48">
        <f>(Vin-Table1[[#This Row],[Vout]])*Table1[[#This Row],[Duty]]/(Frequency*Inductance)</f>
        <v>1.3935599999999999</v>
      </c>
      <c r="D48">
        <f>Irms-Table1[[#This Row],[Ripple Current (A)]]</f>
        <v>18.606439999999999</v>
      </c>
      <c r="E48">
        <f>Irms+Table1[[#This Row],[Ripple Current (A)]]</f>
        <v>21.393560000000001</v>
      </c>
      <c r="F48">
        <f>Table1[[#This Row],[Vout]]*(Table1[[#This Row],[Imin]]+Table1[[#This Row],[Ripple Current (A)]])</f>
        <v>123.47999999999999</v>
      </c>
      <c r="G48" s="1">
        <f>Table1[[#This Row],[Pout]]/Frequency</f>
        <v>2.4695999999999997E-3</v>
      </c>
      <c r="H48" s="1">
        <f>Table1[[#This Row],[Duty]]/Frequency</f>
        <v>4.1999999999999996E-6</v>
      </c>
      <c r="I48" s="1">
        <f>Table1[[#This Row],[Pout]]/Vin</f>
        <v>4.2</v>
      </c>
      <c r="J48" s="1">
        <f>Vin*Table1[[#This Row],[Idc]]*Table1[[#This Row],[Time On]]</f>
        <v>5.1861599999999996E-4</v>
      </c>
      <c r="K48" s="1">
        <f>Table1[[#This Row],[Energy/Cycle]]-Table1[[#This Row],[Edc]]</f>
        <v>1.9509839999999998E-3</v>
      </c>
      <c r="L48" s="1">
        <f>2*Table1[[#This Row],[E Capacitor]]/(Vin^2-(Vin-V_ripple)^2)</f>
        <v>2.6555290514676411E-3</v>
      </c>
      <c r="M48" s="1">
        <f>Table1[[#This Row],[Energy/Cycle]]-(Table1[[#This Row],[E Capacitor]]+Table1[[#This Row],[Edc]])</f>
        <v>0</v>
      </c>
      <c r="N4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8.1378166197603647</v>
      </c>
    </row>
    <row r="49" spans="1:14" x14ac:dyDescent="0.25">
      <c r="A49">
        <v>0.215</v>
      </c>
      <c r="B49">
        <f t="shared" si="1"/>
        <v>6.3209999999999997</v>
      </c>
      <c r="C49">
        <f>(Vin-Table1[[#This Row],[Vout]])*Table1[[#This Row],[Duty]]/(Frequency*Inductance)</f>
        <v>1.4177100000000002</v>
      </c>
      <c r="D49">
        <f>Irms-Table1[[#This Row],[Ripple Current (A)]]</f>
        <v>18.58229</v>
      </c>
      <c r="E49">
        <f>Irms+Table1[[#This Row],[Ripple Current (A)]]</f>
        <v>21.41771</v>
      </c>
      <c r="F49">
        <f>Table1[[#This Row],[Vout]]*(Table1[[#This Row],[Imin]]+Table1[[#This Row],[Ripple Current (A)]])</f>
        <v>126.41999999999999</v>
      </c>
      <c r="G49" s="1">
        <f>Table1[[#This Row],[Pout]]/Frequency</f>
        <v>2.5283999999999997E-3</v>
      </c>
      <c r="H49" s="1">
        <f>Table1[[#This Row],[Duty]]/Frequency</f>
        <v>4.3000000000000003E-6</v>
      </c>
      <c r="I49" s="1">
        <f>Table1[[#This Row],[Pout]]/Vin</f>
        <v>4.3</v>
      </c>
      <c r="J49" s="1">
        <f>Vin*Table1[[#This Row],[Idc]]*Table1[[#This Row],[Time On]]</f>
        <v>5.4360599999999997E-4</v>
      </c>
      <c r="K49" s="1">
        <f>Table1[[#This Row],[Energy/Cycle]]-Table1[[#This Row],[Edc]]</f>
        <v>1.9847939999999998E-3</v>
      </c>
      <c r="L49" s="1">
        <f>2*Table1[[#This Row],[E Capacitor]]/(Vin^2-(Vin-V_ripple)^2)</f>
        <v>2.7015486176097114E-3</v>
      </c>
      <c r="M49" s="1">
        <f>Table1[[#This Row],[Energy/Cycle]]-(Table1[[#This Row],[E Capacitor]]+Table1[[#This Row],[Edc]])</f>
        <v>0</v>
      </c>
      <c r="N4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8.2076767144448066</v>
      </c>
    </row>
    <row r="50" spans="1:14" x14ac:dyDescent="0.25">
      <c r="A50">
        <v>0.22</v>
      </c>
      <c r="B50">
        <f t="shared" si="1"/>
        <v>6.468</v>
      </c>
      <c r="C50">
        <f>(Vin-Table1[[#This Row],[Vout]])*Table1[[#This Row],[Duty]]/(Frequency*Inductance)</f>
        <v>1.4414400000000001</v>
      </c>
      <c r="D50">
        <f>Irms-Table1[[#This Row],[Ripple Current (A)]]</f>
        <v>18.55856</v>
      </c>
      <c r="E50">
        <f>Irms+Table1[[#This Row],[Ripple Current (A)]]</f>
        <v>21.44144</v>
      </c>
      <c r="F50">
        <f>Table1[[#This Row],[Vout]]*(Table1[[#This Row],[Imin]]+Table1[[#This Row],[Ripple Current (A)]])</f>
        <v>129.36000000000001</v>
      </c>
      <c r="G50" s="1">
        <f>Table1[[#This Row],[Pout]]/Frequency</f>
        <v>2.5872000000000004E-3</v>
      </c>
      <c r="H50" s="1">
        <f>Table1[[#This Row],[Duty]]/Frequency</f>
        <v>4.4000000000000002E-6</v>
      </c>
      <c r="I50" s="1">
        <f>Table1[[#This Row],[Pout]]/Vin</f>
        <v>4.4000000000000004</v>
      </c>
      <c r="J50" s="1">
        <f>Vin*Table1[[#This Row],[Idc]]*Table1[[#This Row],[Time On]]</f>
        <v>5.6918400000000014E-4</v>
      </c>
      <c r="K50" s="1">
        <f>Table1[[#This Row],[Energy/Cycle]]-Table1[[#This Row],[Edc]]</f>
        <v>2.0180160000000001E-3</v>
      </c>
      <c r="L50" s="1">
        <f>2*Table1[[#This Row],[E Capacitor]]/(Vin^2-(Vin-V_ripple)^2)</f>
        <v>2.7467678434710506E-3</v>
      </c>
      <c r="M50" s="1">
        <f>Table1[[#This Row],[Energy/Cycle]]-(Table1[[#This Row],[E Capacitor]]+Table1[[#This Row],[Edc]])</f>
        <v>0</v>
      </c>
      <c r="N5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8.2757254497678936</v>
      </c>
    </row>
    <row r="51" spans="1:14" x14ac:dyDescent="0.25">
      <c r="A51">
        <v>0.22500000000000001</v>
      </c>
      <c r="B51">
        <f t="shared" si="1"/>
        <v>6.6150000000000002</v>
      </c>
      <c r="C51">
        <f>(Vin-Table1[[#This Row],[Vout]])*Table1[[#This Row],[Duty]]/(Frequency*Inductance)</f>
        <v>1.4647500000000002</v>
      </c>
      <c r="D51">
        <f>Irms-Table1[[#This Row],[Ripple Current (A)]]</f>
        <v>18.535250000000001</v>
      </c>
      <c r="E51">
        <f>Irms+Table1[[#This Row],[Ripple Current (A)]]</f>
        <v>21.464749999999999</v>
      </c>
      <c r="F51">
        <f>Table1[[#This Row],[Vout]]*(Table1[[#This Row],[Imin]]+Table1[[#This Row],[Ripple Current (A)]])</f>
        <v>132.30000000000001</v>
      </c>
      <c r="G51" s="1">
        <f>Table1[[#This Row],[Pout]]/Frequency</f>
        <v>2.6460000000000003E-3</v>
      </c>
      <c r="H51" s="1">
        <f>Table1[[#This Row],[Duty]]/Frequency</f>
        <v>4.5000000000000001E-6</v>
      </c>
      <c r="I51" s="1">
        <f>Table1[[#This Row],[Pout]]/Vin</f>
        <v>4.5000000000000009</v>
      </c>
      <c r="J51" s="1">
        <f>Vin*Table1[[#This Row],[Idc]]*Table1[[#This Row],[Time On]]</f>
        <v>5.9535000000000002E-4</v>
      </c>
      <c r="K51" s="1">
        <f>Table1[[#This Row],[Energy/Cycle]]-Table1[[#This Row],[Edc]]</f>
        <v>2.0506500000000002E-3</v>
      </c>
      <c r="L51" s="1">
        <f>2*Table1[[#This Row],[E Capacitor]]/(Vin^2-(Vin-V_ripple)^2)</f>
        <v>2.7911867290516578E-3</v>
      </c>
      <c r="M51" s="1">
        <f>Table1[[#This Row],[Energy/Cycle]]-(Table1[[#This Row],[E Capacitor]]+Table1[[#This Row],[Edc]])</f>
        <v>0</v>
      </c>
      <c r="N5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8.3420074357322722</v>
      </c>
    </row>
    <row r="52" spans="1:14" x14ac:dyDescent="0.25">
      <c r="A52">
        <v>0.23</v>
      </c>
      <c r="B52">
        <f t="shared" si="1"/>
        <v>6.7619999999999996</v>
      </c>
      <c r="C52">
        <f>(Vin-Table1[[#This Row],[Vout]])*Table1[[#This Row],[Duty]]/(Frequency*Inductance)</f>
        <v>1.4876400000000001</v>
      </c>
      <c r="D52">
        <f>Irms-Table1[[#This Row],[Ripple Current (A)]]</f>
        <v>18.512360000000001</v>
      </c>
      <c r="E52">
        <f>Irms+Table1[[#This Row],[Ripple Current (A)]]</f>
        <v>21.487639999999999</v>
      </c>
      <c r="F52">
        <f>Table1[[#This Row],[Vout]]*(Table1[[#This Row],[Imin]]+Table1[[#This Row],[Ripple Current (A)]])</f>
        <v>135.23999999999998</v>
      </c>
      <c r="G52" s="1">
        <f>Table1[[#This Row],[Pout]]/Frequency</f>
        <v>2.7047999999999998E-3</v>
      </c>
      <c r="H52" s="1">
        <f>Table1[[#This Row],[Duty]]/Frequency</f>
        <v>4.6E-6</v>
      </c>
      <c r="I52" s="1">
        <f>Table1[[#This Row],[Pout]]/Vin</f>
        <v>4.5999999999999996</v>
      </c>
      <c r="J52" s="1">
        <f>Vin*Table1[[#This Row],[Idc]]*Table1[[#This Row],[Time On]]</f>
        <v>6.2210399999999995E-4</v>
      </c>
      <c r="K52" s="1">
        <f>Table1[[#This Row],[Energy/Cycle]]-Table1[[#This Row],[Edc]]</f>
        <v>2.0826959999999998E-3</v>
      </c>
      <c r="L52" s="1">
        <f>2*Table1[[#This Row],[E Capacitor]]/(Vin^2-(Vin-V_ripple)^2)</f>
        <v>2.8348052743515325E-3</v>
      </c>
      <c r="M52" s="1">
        <f>Table1[[#This Row],[Energy/Cycle]]-(Table1[[#This Row],[E Capacitor]]+Table1[[#This Row],[Edc]])</f>
        <v>0</v>
      </c>
      <c r="N5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8.4065647614030787</v>
      </c>
    </row>
    <row r="53" spans="1:14" x14ac:dyDescent="0.25">
      <c r="A53">
        <v>0.23499999999999999</v>
      </c>
      <c r="B53">
        <f t="shared" si="1"/>
        <v>6.9089999999999989</v>
      </c>
      <c r="C53">
        <f>(Vin-Table1[[#This Row],[Vout]])*Table1[[#This Row],[Duty]]/(Frequency*Inductance)</f>
        <v>1.5101100000000001</v>
      </c>
      <c r="D53">
        <f>Irms-Table1[[#This Row],[Ripple Current (A)]]</f>
        <v>18.489889999999999</v>
      </c>
      <c r="E53">
        <f>Irms+Table1[[#This Row],[Ripple Current (A)]]</f>
        <v>21.510110000000001</v>
      </c>
      <c r="F53">
        <f>Table1[[#This Row],[Vout]]*(Table1[[#This Row],[Imin]]+Table1[[#This Row],[Ripple Current (A)]])</f>
        <v>138.17999999999998</v>
      </c>
      <c r="G53" s="1">
        <f>Table1[[#This Row],[Pout]]/Frequency</f>
        <v>2.7635999999999997E-3</v>
      </c>
      <c r="H53" s="1">
        <f>Table1[[#This Row],[Duty]]/Frequency</f>
        <v>4.6999999999999999E-6</v>
      </c>
      <c r="I53" s="1">
        <f>Table1[[#This Row],[Pout]]/Vin</f>
        <v>4.6999999999999993</v>
      </c>
      <c r="J53" s="1">
        <f>Vin*Table1[[#This Row],[Idc]]*Table1[[#This Row],[Time On]]</f>
        <v>6.4944599999999992E-4</v>
      </c>
      <c r="K53" s="1">
        <f>Table1[[#This Row],[Energy/Cycle]]-Table1[[#This Row],[Edc]]</f>
        <v>2.114154E-3</v>
      </c>
      <c r="L53" s="1">
        <f>2*Table1[[#This Row],[E Capacitor]]/(Vin^2-(Vin-V_ripple)^2)</f>
        <v>2.8776234793706766E-3</v>
      </c>
      <c r="M53" s="1">
        <f>Table1[[#This Row],[Energy/Cycle]]-(Table1[[#This Row],[E Capacitor]]+Table1[[#This Row],[Edc]])</f>
        <v>0</v>
      </c>
      <c r="N5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8.4694371798476364</v>
      </c>
    </row>
    <row r="54" spans="1:14" x14ac:dyDescent="0.25">
      <c r="A54">
        <v>0.24</v>
      </c>
      <c r="B54">
        <f t="shared" si="1"/>
        <v>7.0559999999999992</v>
      </c>
      <c r="C54">
        <f>(Vin-Table1[[#This Row],[Vout]])*Table1[[#This Row],[Duty]]/(Frequency*Inductance)</f>
        <v>1.5321600000000002</v>
      </c>
      <c r="D54">
        <f>Irms-Table1[[#This Row],[Ripple Current (A)]]</f>
        <v>18.467839999999999</v>
      </c>
      <c r="E54">
        <f>Irms+Table1[[#This Row],[Ripple Current (A)]]</f>
        <v>21.532160000000001</v>
      </c>
      <c r="F54">
        <f>Table1[[#This Row],[Vout]]*(Table1[[#This Row],[Imin]]+Table1[[#This Row],[Ripple Current (A)]])</f>
        <v>141.11999999999998</v>
      </c>
      <c r="G54" s="1">
        <f>Table1[[#This Row],[Pout]]/Frequency</f>
        <v>2.8223999999999996E-3</v>
      </c>
      <c r="H54" s="1">
        <f>Table1[[#This Row],[Duty]]/Frequency</f>
        <v>4.7999999999999998E-6</v>
      </c>
      <c r="I54" s="1">
        <f>Table1[[#This Row],[Pout]]/Vin</f>
        <v>4.8</v>
      </c>
      <c r="J54" s="1">
        <f>Vin*Table1[[#This Row],[Idc]]*Table1[[#This Row],[Time On]]</f>
        <v>6.7737599999999982E-4</v>
      </c>
      <c r="K54" s="1">
        <f>Table1[[#This Row],[Energy/Cycle]]-Table1[[#This Row],[Edc]]</f>
        <v>2.1450239999999997E-3</v>
      </c>
      <c r="L54" s="1">
        <f>2*Table1[[#This Row],[E Capacitor]]/(Vin^2-(Vin-V_ripple)^2)</f>
        <v>2.9196413441090882E-3</v>
      </c>
      <c r="M54" s="1">
        <f>Table1[[#This Row],[Energy/Cycle]]-(Table1[[#This Row],[E Capacitor]]+Table1[[#This Row],[Edc]])</f>
        <v>0</v>
      </c>
      <c r="N5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8.5306622755066321</v>
      </c>
    </row>
    <row r="55" spans="1:14" x14ac:dyDescent="0.25">
      <c r="A55">
        <v>0.245</v>
      </c>
      <c r="B55">
        <f t="shared" si="1"/>
        <v>7.2029999999999994</v>
      </c>
      <c r="C55">
        <f>(Vin-Table1[[#This Row],[Vout]])*Table1[[#This Row],[Duty]]/(Frequency*Inductance)</f>
        <v>1.55379</v>
      </c>
      <c r="D55">
        <f>Irms-Table1[[#This Row],[Ripple Current (A)]]</f>
        <v>18.446210000000001</v>
      </c>
      <c r="E55">
        <f>Irms+Table1[[#This Row],[Ripple Current (A)]]</f>
        <v>21.553789999999999</v>
      </c>
      <c r="F55">
        <f>Table1[[#This Row],[Vout]]*(Table1[[#This Row],[Imin]]+Table1[[#This Row],[Ripple Current (A)]])</f>
        <v>144.06</v>
      </c>
      <c r="G55" s="1">
        <f>Table1[[#This Row],[Pout]]/Frequency</f>
        <v>2.8812E-3</v>
      </c>
      <c r="H55" s="1">
        <f>Table1[[#This Row],[Duty]]/Frequency</f>
        <v>4.8999999999999997E-6</v>
      </c>
      <c r="I55" s="1">
        <f>Table1[[#This Row],[Pout]]/Vin</f>
        <v>4.9000000000000004</v>
      </c>
      <c r="J55" s="1">
        <f>Vin*Table1[[#This Row],[Idc]]*Table1[[#This Row],[Time On]]</f>
        <v>7.0589399999999999E-4</v>
      </c>
      <c r="K55" s="1">
        <f>Table1[[#This Row],[Energy/Cycle]]-Table1[[#This Row],[Edc]]</f>
        <v>2.1753060000000001E-3</v>
      </c>
      <c r="L55" s="1">
        <f>2*Table1[[#This Row],[E Capacitor]]/(Vin^2-(Vin-V_ripple)^2)</f>
        <v>2.9608588685667691E-3</v>
      </c>
      <c r="M55" s="1">
        <f>Table1[[#This Row],[Energy/Cycle]]-(Table1[[#This Row],[E Capacitor]]+Table1[[#This Row],[Edc]])</f>
        <v>0</v>
      </c>
      <c r="N5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8.5902756159856999</v>
      </c>
    </row>
    <row r="56" spans="1:14" x14ac:dyDescent="0.25">
      <c r="A56">
        <v>0.25</v>
      </c>
      <c r="B56">
        <f t="shared" si="1"/>
        <v>7.35</v>
      </c>
      <c r="C56">
        <f>(Vin-Table1[[#This Row],[Vout]])*Table1[[#This Row],[Duty]]/(Frequency*Inductance)</f>
        <v>1.575</v>
      </c>
      <c r="D56">
        <f>Irms-Table1[[#This Row],[Ripple Current (A)]]</f>
        <v>18.425000000000001</v>
      </c>
      <c r="E56">
        <f>Irms+Table1[[#This Row],[Ripple Current (A)]]</f>
        <v>21.574999999999999</v>
      </c>
      <c r="F56">
        <f>Table1[[#This Row],[Vout]]*(Table1[[#This Row],[Imin]]+Table1[[#This Row],[Ripple Current (A)]])</f>
        <v>147</v>
      </c>
      <c r="G56" s="1">
        <f>Table1[[#This Row],[Pout]]/Frequency</f>
        <v>2.9399999999999999E-3</v>
      </c>
      <c r="H56" s="1">
        <f>Table1[[#This Row],[Duty]]/Frequency</f>
        <v>5.0000000000000004E-6</v>
      </c>
      <c r="I56" s="1">
        <f>Table1[[#This Row],[Pout]]/Vin</f>
        <v>5</v>
      </c>
      <c r="J56" s="1">
        <f>Vin*Table1[[#This Row],[Idc]]*Table1[[#This Row],[Time On]]</f>
        <v>7.3500000000000008E-4</v>
      </c>
      <c r="K56" s="1">
        <f>Table1[[#This Row],[Energy/Cycle]]-Table1[[#This Row],[Edc]]</f>
        <v>2.2049999999999999E-3</v>
      </c>
      <c r="L56" s="1">
        <f>2*Table1[[#This Row],[E Capacitor]]/(Vin^2-(Vin-V_ripple)^2)</f>
        <v>3.0012760527437176E-3</v>
      </c>
      <c r="M56" s="1">
        <f>Table1[[#This Row],[Energy/Cycle]]-(Table1[[#This Row],[E Capacitor]]+Table1[[#This Row],[Edc]])</f>
        <v>0</v>
      </c>
      <c r="N5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8.6483108899946473</v>
      </c>
    </row>
    <row r="57" spans="1:14" x14ac:dyDescent="0.25">
      <c r="A57">
        <v>0.255</v>
      </c>
      <c r="B57">
        <f t="shared" si="1"/>
        <v>7.4969999999999999</v>
      </c>
      <c r="C57">
        <f>(Vin-Table1[[#This Row],[Vout]])*Table1[[#This Row],[Duty]]/(Frequency*Inductance)</f>
        <v>1.59579</v>
      </c>
      <c r="D57">
        <f>Irms-Table1[[#This Row],[Ripple Current (A)]]</f>
        <v>18.404209999999999</v>
      </c>
      <c r="E57">
        <f>Irms+Table1[[#This Row],[Ripple Current (A)]]</f>
        <v>21.595790000000001</v>
      </c>
      <c r="F57">
        <f>Table1[[#This Row],[Vout]]*(Table1[[#This Row],[Imin]]+Table1[[#This Row],[Ripple Current (A)]])</f>
        <v>149.94</v>
      </c>
      <c r="G57" s="1">
        <f>Table1[[#This Row],[Pout]]/Frequency</f>
        <v>2.9987999999999998E-3</v>
      </c>
      <c r="H57" s="1">
        <f>Table1[[#This Row],[Duty]]/Frequency</f>
        <v>5.1000000000000003E-6</v>
      </c>
      <c r="I57" s="1">
        <f>Table1[[#This Row],[Pout]]/Vin</f>
        <v>5.1000000000000005</v>
      </c>
      <c r="J57" s="1">
        <f>Vin*Table1[[#This Row],[Idc]]*Table1[[#This Row],[Time On]]</f>
        <v>7.6469400000000001E-4</v>
      </c>
      <c r="K57" s="1">
        <f>Table1[[#This Row],[Energy/Cycle]]-Table1[[#This Row],[Edc]]</f>
        <v>2.2341059999999996E-3</v>
      </c>
      <c r="L57" s="1">
        <f>2*Table1[[#This Row],[E Capacitor]]/(Vin^2-(Vin-V_ripple)^2)</f>
        <v>3.0408928966399341E-3</v>
      </c>
      <c r="M57" s="1">
        <f>Table1[[#This Row],[Energy/Cycle]]-(Table1[[#This Row],[E Capacitor]]+Table1[[#This Row],[Edc]])</f>
        <v>0</v>
      </c>
      <c r="N5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8.7048000329388096</v>
      </c>
    </row>
    <row r="58" spans="1:14" x14ac:dyDescent="0.25">
      <c r="A58">
        <v>0.26</v>
      </c>
      <c r="B58">
        <f t="shared" si="1"/>
        <v>7.6440000000000001</v>
      </c>
      <c r="C58">
        <f>(Vin-Table1[[#This Row],[Vout]])*Table1[[#This Row],[Duty]]/(Frequency*Inductance)</f>
        <v>1.61616</v>
      </c>
      <c r="D58">
        <f>Irms-Table1[[#This Row],[Ripple Current (A)]]</f>
        <v>18.383839999999999</v>
      </c>
      <c r="E58">
        <f>Irms+Table1[[#This Row],[Ripple Current (A)]]</f>
        <v>21.616160000000001</v>
      </c>
      <c r="F58">
        <f>Table1[[#This Row],[Vout]]*(Table1[[#This Row],[Imin]]+Table1[[#This Row],[Ripple Current (A)]])</f>
        <v>152.88</v>
      </c>
      <c r="G58" s="1">
        <f>Table1[[#This Row],[Pout]]/Frequency</f>
        <v>3.0575999999999997E-3</v>
      </c>
      <c r="H58" s="1">
        <f>Table1[[#This Row],[Duty]]/Frequency</f>
        <v>5.2000000000000002E-6</v>
      </c>
      <c r="I58" s="1">
        <f>Table1[[#This Row],[Pout]]/Vin</f>
        <v>5.2</v>
      </c>
      <c r="J58" s="1">
        <f>Vin*Table1[[#This Row],[Idc]]*Table1[[#This Row],[Time On]]</f>
        <v>7.9497599999999997E-4</v>
      </c>
      <c r="K58" s="1">
        <f>Table1[[#This Row],[Energy/Cycle]]-Table1[[#This Row],[Edc]]</f>
        <v>2.2626239999999995E-3</v>
      </c>
      <c r="L58" s="1">
        <f>2*Table1[[#This Row],[E Capacitor]]/(Vin^2-(Vin-V_ripple)^2)</f>
        <v>3.0797094002554194E-3</v>
      </c>
      <c r="M58" s="1">
        <f>Table1[[#This Row],[Energy/Cycle]]-(Table1[[#This Row],[E Capacitor]]+Table1[[#This Row],[Edc]])</f>
        <v>0</v>
      </c>
      <c r="N5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8.7597733414768211</v>
      </c>
    </row>
    <row r="59" spans="1:14" x14ac:dyDescent="0.25">
      <c r="A59">
        <v>0.26500000000000001</v>
      </c>
      <c r="B59">
        <f t="shared" si="1"/>
        <v>7.7910000000000004</v>
      </c>
      <c r="C59">
        <f>(Vin-Table1[[#This Row],[Vout]])*Table1[[#This Row],[Duty]]/(Frequency*Inductance)</f>
        <v>1.6361100000000002</v>
      </c>
      <c r="D59">
        <f>Irms-Table1[[#This Row],[Ripple Current (A)]]</f>
        <v>18.363890000000001</v>
      </c>
      <c r="E59">
        <f>Irms+Table1[[#This Row],[Ripple Current (A)]]</f>
        <v>21.636109999999999</v>
      </c>
      <c r="F59">
        <f>Table1[[#This Row],[Vout]]*(Table1[[#This Row],[Imin]]+Table1[[#This Row],[Ripple Current (A)]])</f>
        <v>155.82</v>
      </c>
      <c r="G59" s="1">
        <f>Table1[[#This Row],[Pout]]/Frequency</f>
        <v>3.1164000000000001E-3</v>
      </c>
      <c r="H59" s="1">
        <f>Table1[[#This Row],[Duty]]/Frequency</f>
        <v>5.3000000000000001E-6</v>
      </c>
      <c r="I59" s="1">
        <f>Table1[[#This Row],[Pout]]/Vin</f>
        <v>5.3</v>
      </c>
      <c r="J59" s="1">
        <f>Vin*Table1[[#This Row],[Idc]]*Table1[[#This Row],[Time On]]</f>
        <v>8.2584599999999998E-4</v>
      </c>
      <c r="K59" s="1">
        <f>Table1[[#This Row],[Energy/Cycle]]-Table1[[#This Row],[Edc]]</f>
        <v>2.2905540000000002E-3</v>
      </c>
      <c r="L59" s="1">
        <f>2*Table1[[#This Row],[E Capacitor]]/(Vin^2-(Vin-V_ripple)^2)</f>
        <v>3.1177255635901741E-3</v>
      </c>
      <c r="M59" s="1">
        <f>Table1[[#This Row],[Energy/Cycle]]-(Table1[[#This Row],[E Capacitor]]+Table1[[#This Row],[Edc]])</f>
        <v>0</v>
      </c>
      <c r="N5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8.813259578196055</v>
      </c>
    </row>
    <row r="60" spans="1:14" x14ac:dyDescent="0.25">
      <c r="A60">
        <v>0.27</v>
      </c>
      <c r="B60">
        <f t="shared" si="1"/>
        <v>7.9379999999999997</v>
      </c>
      <c r="C60">
        <f>(Vin-Table1[[#This Row],[Vout]])*Table1[[#This Row],[Duty]]/(Frequency*Inductance)</f>
        <v>1.6556400000000002</v>
      </c>
      <c r="D60">
        <f>Irms-Table1[[#This Row],[Ripple Current (A)]]</f>
        <v>18.344359999999998</v>
      </c>
      <c r="E60">
        <f>Irms+Table1[[#This Row],[Ripple Current (A)]]</f>
        <v>21.655640000000002</v>
      </c>
      <c r="F60">
        <f>Table1[[#This Row],[Vout]]*(Table1[[#This Row],[Imin]]+Table1[[#This Row],[Ripple Current (A)]])</f>
        <v>158.76</v>
      </c>
      <c r="G60" s="1">
        <f>Table1[[#This Row],[Pout]]/Frequency</f>
        <v>3.1752E-3</v>
      </c>
      <c r="H60" s="1">
        <f>Table1[[#This Row],[Duty]]/Frequency</f>
        <v>5.4E-6</v>
      </c>
      <c r="I60" s="1">
        <f>Table1[[#This Row],[Pout]]/Vin</f>
        <v>5.4</v>
      </c>
      <c r="J60" s="1">
        <f>Vin*Table1[[#This Row],[Idc]]*Table1[[#This Row],[Time On]]</f>
        <v>8.5730399999999992E-4</v>
      </c>
      <c r="K60" s="1">
        <f>Table1[[#This Row],[Energy/Cycle]]-Table1[[#This Row],[Edc]]</f>
        <v>2.3178959999999998E-3</v>
      </c>
      <c r="L60" s="1">
        <f>2*Table1[[#This Row],[E Capacitor]]/(Vin^2-(Vin-V_ripple)^2)</f>
        <v>3.1549413866441959E-3</v>
      </c>
      <c r="M60" s="1">
        <f>Table1[[#This Row],[Energy/Cycle]]-(Table1[[#This Row],[E Capacitor]]+Table1[[#This Row],[Edc]])</f>
        <v>0</v>
      </c>
      <c r="N6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8.8652860674168892</v>
      </c>
    </row>
    <row r="61" spans="1:14" x14ac:dyDescent="0.25">
      <c r="A61">
        <v>0.27500000000000002</v>
      </c>
      <c r="B61">
        <f t="shared" si="1"/>
        <v>8.0850000000000009</v>
      </c>
      <c r="C61">
        <f>(Vin-Table1[[#This Row],[Vout]])*Table1[[#This Row],[Duty]]/(Frequency*Inductance)</f>
        <v>1.6747500000000002</v>
      </c>
      <c r="D61">
        <f>Irms-Table1[[#This Row],[Ripple Current (A)]]</f>
        <v>18.32525</v>
      </c>
      <c r="E61">
        <f>Irms+Table1[[#This Row],[Ripple Current (A)]]</f>
        <v>21.67475</v>
      </c>
      <c r="F61">
        <f>Table1[[#This Row],[Vout]]*(Table1[[#This Row],[Imin]]+Table1[[#This Row],[Ripple Current (A)]])</f>
        <v>161.70000000000002</v>
      </c>
      <c r="G61" s="1">
        <f>Table1[[#This Row],[Pout]]/Frequency</f>
        <v>3.2340000000000003E-3</v>
      </c>
      <c r="H61" s="1">
        <f>Table1[[#This Row],[Duty]]/Frequency</f>
        <v>5.5000000000000007E-6</v>
      </c>
      <c r="I61" s="1">
        <f>Table1[[#This Row],[Pout]]/Vin</f>
        <v>5.5000000000000009</v>
      </c>
      <c r="J61" s="1">
        <f>Vin*Table1[[#This Row],[Idc]]*Table1[[#This Row],[Time On]]</f>
        <v>8.8935000000000023E-4</v>
      </c>
      <c r="K61" s="1">
        <f>Table1[[#This Row],[Energy/Cycle]]-Table1[[#This Row],[Edc]]</f>
        <v>2.3446500000000002E-3</v>
      </c>
      <c r="L61" s="1">
        <f>2*Table1[[#This Row],[E Capacitor]]/(Vin^2-(Vin-V_ripple)^2)</f>
        <v>3.191356869417487E-3</v>
      </c>
      <c r="M61" s="1">
        <f>Table1[[#This Row],[Energy/Cycle]]-(Table1[[#This Row],[E Capacitor]]+Table1[[#This Row],[Edc]])</f>
        <v>0</v>
      </c>
      <c r="N6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8.915878783016149</v>
      </c>
    </row>
    <row r="62" spans="1:14" x14ac:dyDescent="0.25">
      <c r="A62">
        <v>0.28000000000000003</v>
      </c>
      <c r="B62">
        <f t="shared" si="1"/>
        <v>8.2320000000000011</v>
      </c>
      <c r="C62">
        <f>(Vin-Table1[[#This Row],[Vout]])*Table1[[#This Row],[Duty]]/(Frequency*Inductance)</f>
        <v>1.6934400000000005</v>
      </c>
      <c r="D62">
        <f>Irms-Table1[[#This Row],[Ripple Current (A)]]</f>
        <v>18.306560000000001</v>
      </c>
      <c r="E62">
        <f>Irms+Table1[[#This Row],[Ripple Current (A)]]</f>
        <v>21.693439999999999</v>
      </c>
      <c r="F62">
        <f>Table1[[#This Row],[Vout]]*(Table1[[#This Row],[Imin]]+Table1[[#This Row],[Ripple Current (A)]])</f>
        <v>164.64000000000001</v>
      </c>
      <c r="G62" s="1">
        <f>Table1[[#This Row],[Pout]]/Frequency</f>
        <v>3.2928000000000002E-3</v>
      </c>
      <c r="H62" s="1">
        <f>Table1[[#This Row],[Duty]]/Frequency</f>
        <v>5.6000000000000006E-6</v>
      </c>
      <c r="I62" s="1">
        <f>Table1[[#This Row],[Pout]]/Vin</f>
        <v>5.6000000000000005</v>
      </c>
      <c r="J62" s="1">
        <f>Vin*Table1[[#This Row],[Idc]]*Table1[[#This Row],[Time On]]</f>
        <v>9.2198400000000015E-4</v>
      </c>
      <c r="K62" s="1">
        <f>Table1[[#This Row],[Energy/Cycle]]-Table1[[#This Row],[Edc]]</f>
        <v>2.370816E-3</v>
      </c>
      <c r="L62" s="1">
        <f>2*Table1[[#This Row],[E Capacitor]]/(Vin^2-(Vin-V_ripple)^2)</f>
        <v>3.2269720119100453E-3</v>
      </c>
      <c r="M62" s="1">
        <f>Table1[[#This Row],[Energy/Cycle]]-(Table1[[#This Row],[E Capacitor]]+Table1[[#This Row],[Edc]])</f>
        <v>0</v>
      </c>
      <c r="N6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8.9650624290555836</v>
      </c>
    </row>
    <row r="63" spans="1:14" x14ac:dyDescent="0.25">
      <c r="A63">
        <v>0.28499999999999998</v>
      </c>
      <c r="B63">
        <f t="shared" si="1"/>
        <v>8.3789999999999996</v>
      </c>
      <c r="C63">
        <f>(Vin-Table1[[#This Row],[Vout]])*Table1[[#This Row],[Duty]]/(Frequency*Inductance)</f>
        <v>1.7117100000000001</v>
      </c>
      <c r="D63">
        <f>Irms-Table1[[#This Row],[Ripple Current (A)]]</f>
        <v>18.28829</v>
      </c>
      <c r="E63">
        <f>Irms+Table1[[#This Row],[Ripple Current (A)]]</f>
        <v>21.71171</v>
      </c>
      <c r="F63">
        <f>Table1[[#This Row],[Vout]]*(Table1[[#This Row],[Imin]]+Table1[[#This Row],[Ripple Current (A)]])</f>
        <v>167.57999999999998</v>
      </c>
      <c r="G63" s="1">
        <f>Table1[[#This Row],[Pout]]/Frequency</f>
        <v>3.3515999999999997E-3</v>
      </c>
      <c r="H63" s="1">
        <f>Table1[[#This Row],[Duty]]/Frequency</f>
        <v>5.6999999999999996E-6</v>
      </c>
      <c r="I63" s="1">
        <f>Table1[[#This Row],[Pout]]/Vin</f>
        <v>5.7</v>
      </c>
      <c r="J63" s="1">
        <f>Vin*Table1[[#This Row],[Idc]]*Table1[[#This Row],[Time On]]</f>
        <v>9.5520599999999989E-4</v>
      </c>
      <c r="K63" s="1">
        <f>Table1[[#This Row],[Energy/Cycle]]-Table1[[#This Row],[Edc]]</f>
        <v>2.3963939999999996E-3</v>
      </c>
      <c r="L63" s="1">
        <f>2*Table1[[#This Row],[E Capacitor]]/(Vin^2-(Vin-V_ripple)^2)</f>
        <v>3.2617868141218719E-3</v>
      </c>
      <c r="M63" s="1">
        <f>Table1[[#This Row],[Energy/Cycle]]-(Table1[[#This Row],[E Capacitor]]+Table1[[#This Row],[Edc]])</f>
        <v>0</v>
      </c>
      <c r="N6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9.0128605139106917</v>
      </c>
    </row>
    <row r="64" spans="1:14" x14ac:dyDescent="0.25">
      <c r="A64">
        <v>0.28999999999999998</v>
      </c>
      <c r="B64">
        <f t="shared" si="1"/>
        <v>8.5259999999999998</v>
      </c>
      <c r="C64">
        <f>(Vin-Table1[[#This Row],[Vout]])*Table1[[#This Row],[Duty]]/(Frequency*Inductance)</f>
        <v>1.72956</v>
      </c>
      <c r="D64">
        <f>Irms-Table1[[#This Row],[Ripple Current (A)]]</f>
        <v>18.270440000000001</v>
      </c>
      <c r="E64">
        <f>Irms+Table1[[#This Row],[Ripple Current (A)]]</f>
        <v>21.729559999999999</v>
      </c>
      <c r="F64">
        <f>Table1[[#This Row],[Vout]]*(Table1[[#This Row],[Imin]]+Table1[[#This Row],[Ripple Current (A)]])</f>
        <v>170.51999999999998</v>
      </c>
      <c r="G64" s="1">
        <f>Table1[[#This Row],[Pout]]/Frequency</f>
        <v>3.4103999999999996E-3</v>
      </c>
      <c r="H64" s="1">
        <f>Table1[[#This Row],[Duty]]/Frequency</f>
        <v>5.7999999999999995E-6</v>
      </c>
      <c r="I64" s="1">
        <f>Table1[[#This Row],[Pout]]/Vin</f>
        <v>5.8</v>
      </c>
      <c r="J64" s="1">
        <f>Vin*Table1[[#This Row],[Idc]]*Table1[[#This Row],[Time On]]</f>
        <v>9.890159999999999E-4</v>
      </c>
      <c r="K64" s="1">
        <f>Table1[[#This Row],[Energy/Cycle]]-Table1[[#This Row],[Edc]]</f>
        <v>2.4213839999999995E-3</v>
      </c>
      <c r="L64" s="1">
        <f>2*Table1[[#This Row],[E Capacitor]]/(Vin^2-(Vin-V_ripple)^2)</f>
        <v>3.2958012760529671E-3</v>
      </c>
      <c r="M64" s="1">
        <f>Table1[[#This Row],[Energy/Cycle]]-(Table1[[#This Row],[E Capacitor]]+Table1[[#This Row],[Edc]])</f>
        <v>0</v>
      </c>
      <c r="N6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9.0592954185163865</v>
      </c>
    </row>
    <row r="65" spans="1:14" x14ac:dyDescent="0.25">
      <c r="A65">
        <v>0.29499999999999998</v>
      </c>
      <c r="B65">
        <f t="shared" si="1"/>
        <v>8.6729999999999983</v>
      </c>
      <c r="C65">
        <f>(Vin-Table1[[#This Row],[Vout]])*Table1[[#This Row],[Duty]]/(Frequency*Inductance)</f>
        <v>1.7469900000000003</v>
      </c>
      <c r="D65">
        <f>Irms-Table1[[#This Row],[Ripple Current (A)]]</f>
        <v>18.25301</v>
      </c>
      <c r="E65">
        <f>Irms+Table1[[#This Row],[Ripple Current (A)]]</f>
        <v>21.74699</v>
      </c>
      <c r="F65">
        <f>Table1[[#This Row],[Vout]]*(Table1[[#This Row],[Imin]]+Table1[[#This Row],[Ripple Current (A)]])</f>
        <v>173.45999999999998</v>
      </c>
      <c r="G65" s="1">
        <f>Table1[[#This Row],[Pout]]/Frequency</f>
        <v>3.4691999999999995E-3</v>
      </c>
      <c r="H65" s="1">
        <f>Table1[[#This Row],[Duty]]/Frequency</f>
        <v>5.8999999999999994E-6</v>
      </c>
      <c r="I65" s="1">
        <f>Table1[[#This Row],[Pout]]/Vin</f>
        <v>5.8999999999999995</v>
      </c>
      <c r="J65" s="1">
        <f>Vin*Table1[[#This Row],[Idc]]*Table1[[#This Row],[Time On]]</f>
        <v>1.0234139999999998E-3</v>
      </c>
      <c r="K65" s="1">
        <f>Table1[[#This Row],[Energy/Cycle]]-Table1[[#This Row],[Edc]]</f>
        <v>2.4457859999999997E-3</v>
      </c>
      <c r="L65" s="1">
        <f>2*Table1[[#This Row],[E Capacitor]]/(Vin^2-(Vin-V_ripple)^2)</f>
        <v>3.3290153977033315E-3</v>
      </c>
      <c r="M65" s="1">
        <f>Table1[[#This Row],[Energy/Cycle]]-(Table1[[#This Row],[E Capacitor]]+Table1[[#This Row],[Edc]])</f>
        <v>0</v>
      </c>
      <c r="N6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9.1043884592774003</v>
      </c>
    </row>
    <row r="66" spans="1:14" x14ac:dyDescent="0.25">
      <c r="A66">
        <v>0.3</v>
      </c>
      <c r="B66">
        <f t="shared" si="1"/>
        <v>8.8199999999999985</v>
      </c>
      <c r="C66">
        <f>(Vin-Table1[[#This Row],[Vout]])*Table1[[#This Row],[Duty]]/(Frequency*Inductance)</f>
        <v>1.764</v>
      </c>
      <c r="D66">
        <f>Irms-Table1[[#This Row],[Ripple Current (A)]]</f>
        <v>18.236000000000001</v>
      </c>
      <c r="E66">
        <f>Irms+Table1[[#This Row],[Ripple Current (A)]]</f>
        <v>21.763999999999999</v>
      </c>
      <c r="F66">
        <f>Table1[[#This Row],[Vout]]*(Table1[[#This Row],[Imin]]+Table1[[#This Row],[Ripple Current (A)]])</f>
        <v>176.39999999999998</v>
      </c>
      <c r="G66" s="1">
        <f>Table1[[#This Row],[Pout]]/Frequency</f>
        <v>3.5279999999999995E-3</v>
      </c>
      <c r="H66" s="1">
        <f>Table1[[#This Row],[Duty]]/Frequency</f>
        <v>6.0000000000000002E-6</v>
      </c>
      <c r="I66" s="1">
        <f>Table1[[#This Row],[Pout]]/Vin</f>
        <v>5.9999999999999991</v>
      </c>
      <c r="J66" s="1">
        <f>Vin*Table1[[#This Row],[Idc]]*Table1[[#This Row],[Time On]]</f>
        <v>1.0583999999999999E-3</v>
      </c>
      <c r="K66" s="1">
        <f>Table1[[#This Row],[Energy/Cycle]]-Table1[[#This Row],[Edc]]</f>
        <v>2.4695999999999997E-3</v>
      </c>
      <c r="L66" s="1">
        <f>2*Table1[[#This Row],[E Capacitor]]/(Vin^2-(Vin-V_ripple)^2)</f>
        <v>3.3614291790729635E-3</v>
      </c>
      <c r="M66" s="1">
        <f>Table1[[#This Row],[Energy/Cycle]]-(Table1[[#This Row],[E Capacitor]]+Table1[[#This Row],[Edc]])</f>
        <v>0</v>
      </c>
      <c r="N6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9.1481599461312442</v>
      </c>
    </row>
    <row r="67" spans="1:14" x14ac:dyDescent="0.25">
      <c r="A67">
        <v>0.30499999999999999</v>
      </c>
      <c r="B67">
        <f t="shared" si="1"/>
        <v>8.9669999999999987</v>
      </c>
      <c r="C67">
        <f>(Vin-Table1[[#This Row],[Vout]])*Table1[[#This Row],[Duty]]/(Frequency*Inductance)</f>
        <v>1.7805900000000001</v>
      </c>
      <c r="D67">
        <f>Irms-Table1[[#This Row],[Ripple Current (A)]]</f>
        <v>18.21941</v>
      </c>
      <c r="E67">
        <f>Irms+Table1[[#This Row],[Ripple Current (A)]]</f>
        <v>21.78059</v>
      </c>
      <c r="F67">
        <f>Table1[[#This Row],[Vout]]*(Table1[[#This Row],[Imin]]+Table1[[#This Row],[Ripple Current (A)]])</f>
        <v>179.33999999999997</v>
      </c>
      <c r="G67" s="1">
        <f>Table1[[#This Row],[Pout]]/Frequency</f>
        <v>3.5867999999999994E-3</v>
      </c>
      <c r="H67" s="1">
        <f>Table1[[#This Row],[Duty]]/Frequency</f>
        <v>6.1E-6</v>
      </c>
      <c r="I67" s="1">
        <f>Table1[[#This Row],[Pout]]/Vin</f>
        <v>6.1</v>
      </c>
      <c r="J67" s="1">
        <f>Vin*Table1[[#This Row],[Idc]]*Table1[[#This Row],[Time On]]</f>
        <v>1.0939739999999999E-3</v>
      </c>
      <c r="K67" s="1">
        <f>Table1[[#This Row],[Energy/Cycle]]-Table1[[#This Row],[Edc]]</f>
        <v>2.4928259999999992E-3</v>
      </c>
      <c r="L67" s="1">
        <f>2*Table1[[#This Row],[E Capacitor]]/(Vin^2-(Vin-V_ripple)^2)</f>
        <v>3.3930426201618635E-3</v>
      </c>
      <c r="M67" s="1">
        <f>Table1[[#This Row],[Energy/Cycle]]-(Table1[[#This Row],[E Capacitor]]+Table1[[#This Row],[Edc]])</f>
        <v>0</v>
      </c>
      <c r="N6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9.1906292361990367</v>
      </c>
    </row>
    <row r="68" spans="1:14" x14ac:dyDescent="0.25">
      <c r="A68">
        <v>0.31</v>
      </c>
      <c r="B68">
        <f t="shared" si="1"/>
        <v>9.113999999999999</v>
      </c>
      <c r="C68">
        <f>(Vin-Table1[[#This Row],[Vout]])*Table1[[#This Row],[Duty]]/(Frequency*Inductance)</f>
        <v>1.7967600000000004</v>
      </c>
      <c r="D68">
        <f>Irms-Table1[[#This Row],[Ripple Current (A)]]</f>
        <v>18.203240000000001</v>
      </c>
      <c r="E68">
        <f>Irms+Table1[[#This Row],[Ripple Current (A)]]</f>
        <v>21.796759999999999</v>
      </c>
      <c r="F68">
        <f>Table1[[#This Row],[Vout]]*(Table1[[#This Row],[Imin]]+Table1[[#This Row],[Ripple Current (A)]])</f>
        <v>182.27999999999997</v>
      </c>
      <c r="G68" s="1">
        <f>Table1[[#This Row],[Pout]]/Frequency</f>
        <v>3.6455999999999993E-3</v>
      </c>
      <c r="H68" s="1">
        <f>Table1[[#This Row],[Duty]]/Frequency</f>
        <v>6.1999999999999999E-6</v>
      </c>
      <c r="I68" s="1">
        <f>Table1[[#This Row],[Pout]]/Vin</f>
        <v>6.1999999999999993</v>
      </c>
      <c r="J68" s="1">
        <f>Vin*Table1[[#This Row],[Idc]]*Table1[[#This Row],[Time On]]</f>
        <v>1.1301359999999999E-3</v>
      </c>
      <c r="K68" s="1">
        <f>Table1[[#This Row],[Energy/Cycle]]-Table1[[#This Row],[Edc]]</f>
        <v>2.5154639999999994E-3</v>
      </c>
      <c r="L68" s="1">
        <f>2*Table1[[#This Row],[E Capacitor]]/(Vin^2-(Vin-V_ripple)^2)</f>
        <v>3.4238557209700323E-3</v>
      </c>
      <c r="M68" s="1">
        <f>Table1[[#This Row],[Energy/Cycle]]-(Table1[[#This Row],[E Capacitor]]+Table1[[#This Row],[Edc]])</f>
        <v>0</v>
      </c>
      <c r="N6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9.2318147834132809</v>
      </c>
    </row>
    <row r="69" spans="1:14" x14ac:dyDescent="0.25">
      <c r="A69">
        <v>0.315</v>
      </c>
      <c r="B69">
        <f t="shared" si="1"/>
        <v>9.2609999999999992</v>
      </c>
      <c r="C69">
        <f>(Vin-Table1[[#This Row],[Vout]])*Table1[[#This Row],[Duty]]/(Frequency*Inductance)</f>
        <v>1.8125100000000001</v>
      </c>
      <c r="D69">
        <f>Irms-Table1[[#This Row],[Ripple Current (A)]]</f>
        <v>18.18749</v>
      </c>
      <c r="E69">
        <f>Irms+Table1[[#This Row],[Ripple Current (A)]]</f>
        <v>21.81251</v>
      </c>
      <c r="F69">
        <f>Table1[[#This Row],[Vout]]*(Table1[[#This Row],[Imin]]+Table1[[#This Row],[Ripple Current (A)]])</f>
        <v>185.21999999999997</v>
      </c>
      <c r="G69" s="1">
        <f>Table1[[#This Row],[Pout]]/Frequency</f>
        <v>3.7043999999999996E-3</v>
      </c>
      <c r="H69" s="1">
        <f>Table1[[#This Row],[Duty]]/Frequency</f>
        <v>6.2999999999999998E-6</v>
      </c>
      <c r="I69" s="1">
        <f>Table1[[#This Row],[Pout]]/Vin</f>
        <v>6.2999999999999989</v>
      </c>
      <c r="J69" s="1">
        <f>Vin*Table1[[#This Row],[Idc]]*Table1[[#This Row],[Time On]]</f>
        <v>1.1668859999999998E-3</v>
      </c>
      <c r="K69" s="1">
        <f>Table1[[#This Row],[Energy/Cycle]]-Table1[[#This Row],[Edc]]</f>
        <v>2.5375139999999998E-3</v>
      </c>
      <c r="L69" s="1">
        <f>2*Table1[[#This Row],[E Capacitor]]/(Vin^2-(Vin-V_ripple)^2)</f>
        <v>3.4538684814974701E-3</v>
      </c>
      <c r="M69" s="1">
        <f>Table1[[#This Row],[Energy/Cycle]]-(Table1[[#This Row],[E Capacitor]]+Table1[[#This Row],[Edc]])</f>
        <v>0</v>
      </c>
      <c r="N6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9.2717341844710734</v>
      </c>
    </row>
    <row r="70" spans="1:14" x14ac:dyDescent="0.25">
      <c r="A70">
        <v>0.32</v>
      </c>
      <c r="B70">
        <f t="shared" si="1"/>
        <v>9.4079999999999995</v>
      </c>
      <c r="C70">
        <f>(Vin-Table1[[#This Row],[Vout]])*Table1[[#This Row],[Duty]]/(Frequency*Inductance)</f>
        <v>1.8278400000000001</v>
      </c>
      <c r="D70">
        <f>Irms-Table1[[#This Row],[Ripple Current (A)]]</f>
        <v>18.172159999999998</v>
      </c>
      <c r="E70">
        <f>Irms+Table1[[#This Row],[Ripple Current (A)]]</f>
        <v>21.827840000000002</v>
      </c>
      <c r="F70">
        <f>Table1[[#This Row],[Vout]]*(Table1[[#This Row],[Imin]]+Table1[[#This Row],[Ripple Current (A)]])</f>
        <v>188.16</v>
      </c>
      <c r="G70" s="1">
        <f>Table1[[#This Row],[Pout]]/Frequency</f>
        <v>3.7632E-3</v>
      </c>
      <c r="H70" s="1">
        <f>Table1[[#This Row],[Duty]]/Frequency</f>
        <v>6.3999999999999997E-6</v>
      </c>
      <c r="I70" s="1">
        <f>Table1[[#This Row],[Pout]]/Vin</f>
        <v>6.4</v>
      </c>
      <c r="J70" s="1">
        <f>Vin*Table1[[#This Row],[Idc]]*Table1[[#This Row],[Time On]]</f>
        <v>1.2042239999999998E-3</v>
      </c>
      <c r="K70" s="1">
        <f>Table1[[#This Row],[Energy/Cycle]]-Table1[[#This Row],[Edc]]</f>
        <v>2.5589760000000001E-3</v>
      </c>
      <c r="L70" s="1">
        <f>2*Table1[[#This Row],[E Capacitor]]/(Vin^2-(Vin-V_ripple)^2)</f>
        <v>3.4830809017441762E-3</v>
      </c>
      <c r="M70" s="1">
        <f>Table1[[#This Row],[Energy/Cycle]]-(Table1[[#This Row],[E Capacitor]]+Table1[[#This Row],[Edc]])</f>
        <v>0</v>
      </c>
      <c r="N7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9.3104042214254044</v>
      </c>
    </row>
    <row r="71" spans="1:14" x14ac:dyDescent="0.25">
      <c r="A71">
        <v>0.32500000000000001</v>
      </c>
      <c r="B71">
        <f t="shared" ref="B71:B102" si="2">A71*Vin</f>
        <v>9.5549999999999997</v>
      </c>
      <c r="C71">
        <f>(Vin-Table1[[#This Row],[Vout]])*Table1[[#This Row],[Duty]]/(Frequency*Inductance)</f>
        <v>1.8427500000000003</v>
      </c>
      <c r="D71">
        <f>Irms-Table1[[#This Row],[Ripple Current (A)]]</f>
        <v>18.157250000000001</v>
      </c>
      <c r="E71">
        <f>Irms+Table1[[#This Row],[Ripple Current (A)]]</f>
        <v>21.842749999999999</v>
      </c>
      <c r="F71">
        <f>Table1[[#This Row],[Vout]]*(Table1[[#This Row],[Imin]]+Table1[[#This Row],[Ripple Current (A)]])</f>
        <v>191.1</v>
      </c>
      <c r="G71" s="1">
        <f>Table1[[#This Row],[Pout]]/Frequency</f>
        <v>3.8219999999999999E-3</v>
      </c>
      <c r="H71" s="1">
        <f>Table1[[#This Row],[Duty]]/Frequency</f>
        <v>6.5000000000000004E-6</v>
      </c>
      <c r="I71" s="1">
        <f>Table1[[#This Row],[Pout]]/Vin</f>
        <v>6.5</v>
      </c>
      <c r="J71" s="1">
        <f>Vin*Table1[[#This Row],[Idc]]*Table1[[#This Row],[Time On]]</f>
        <v>1.24215E-3</v>
      </c>
      <c r="K71" s="1">
        <f>Table1[[#This Row],[Energy/Cycle]]-Table1[[#This Row],[Edc]]</f>
        <v>2.5798499999999999E-3</v>
      </c>
      <c r="L71" s="1">
        <f>2*Table1[[#This Row],[E Capacitor]]/(Vin^2-(Vin-V_ripple)^2)</f>
        <v>3.5114929817101495E-3</v>
      </c>
      <c r="M71" s="1">
        <f>Table1[[#This Row],[Energy/Cycle]]-(Table1[[#This Row],[E Capacitor]]+Table1[[#This Row],[Edc]])</f>
        <v>0</v>
      </c>
      <c r="N7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9.3478409011954469</v>
      </c>
    </row>
    <row r="72" spans="1:14" x14ac:dyDescent="0.25">
      <c r="A72">
        <v>0.33</v>
      </c>
      <c r="B72">
        <f t="shared" si="2"/>
        <v>9.702</v>
      </c>
      <c r="C72">
        <f>(Vin-Table1[[#This Row],[Vout]])*Table1[[#This Row],[Duty]]/(Frequency*Inductance)</f>
        <v>1.8572400000000004</v>
      </c>
      <c r="D72">
        <f>Irms-Table1[[#This Row],[Ripple Current (A)]]</f>
        <v>18.142759999999999</v>
      </c>
      <c r="E72">
        <f>Irms+Table1[[#This Row],[Ripple Current (A)]]</f>
        <v>21.857240000000001</v>
      </c>
      <c r="F72">
        <f>Table1[[#This Row],[Vout]]*(Table1[[#This Row],[Imin]]+Table1[[#This Row],[Ripple Current (A)]])</f>
        <v>194.04</v>
      </c>
      <c r="G72" s="1">
        <f>Table1[[#This Row],[Pout]]/Frequency</f>
        <v>3.8807999999999998E-3</v>
      </c>
      <c r="H72" s="1">
        <f>Table1[[#This Row],[Duty]]/Frequency</f>
        <v>6.6000000000000003E-6</v>
      </c>
      <c r="I72" s="1">
        <f>Table1[[#This Row],[Pout]]/Vin</f>
        <v>6.6</v>
      </c>
      <c r="J72" s="1">
        <f>Vin*Table1[[#This Row],[Idc]]*Table1[[#This Row],[Time On]]</f>
        <v>1.2806639999999999E-3</v>
      </c>
      <c r="K72" s="1">
        <f>Table1[[#This Row],[Energy/Cycle]]-Table1[[#This Row],[Edc]]</f>
        <v>2.6001359999999999E-3</v>
      </c>
      <c r="L72" s="1">
        <f>2*Table1[[#This Row],[E Capacitor]]/(Vin^2-(Vin-V_ripple)^2)</f>
        <v>3.5391047213953917E-3</v>
      </c>
      <c r="M72" s="1">
        <f>Table1[[#This Row],[Energy/Cycle]]-(Table1[[#This Row],[E Capacitor]]+Table1[[#This Row],[Edc]])</f>
        <v>0</v>
      </c>
      <c r="N7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9.3840594922487561</v>
      </c>
    </row>
    <row r="73" spans="1:14" x14ac:dyDescent="0.25">
      <c r="A73">
        <v>0.33500000000000002</v>
      </c>
      <c r="B73">
        <f t="shared" si="2"/>
        <v>9.8490000000000002</v>
      </c>
      <c r="C73">
        <f>(Vin-Table1[[#This Row],[Vout]])*Table1[[#This Row],[Duty]]/(Frequency*Inductance)</f>
        <v>1.87131</v>
      </c>
      <c r="D73">
        <f>Irms-Table1[[#This Row],[Ripple Current (A)]]</f>
        <v>18.128689999999999</v>
      </c>
      <c r="E73">
        <f>Irms+Table1[[#This Row],[Ripple Current (A)]]</f>
        <v>21.871310000000001</v>
      </c>
      <c r="F73">
        <f>Table1[[#This Row],[Vout]]*(Table1[[#This Row],[Imin]]+Table1[[#This Row],[Ripple Current (A)]])</f>
        <v>196.98000000000002</v>
      </c>
      <c r="G73" s="1">
        <f>Table1[[#This Row],[Pout]]/Frequency</f>
        <v>3.9396000000000006E-3</v>
      </c>
      <c r="H73" s="1">
        <f>Table1[[#This Row],[Duty]]/Frequency</f>
        <v>6.7000000000000002E-6</v>
      </c>
      <c r="I73" s="1">
        <f>Table1[[#This Row],[Pout]]/Vin</f>
        <v>6.7000000000000011</v>
      </c>
      <c r="J73" s="1">
        <f>Vin*Table1[[#This Row],[Idc]]*Table1[[#This Row],[Time On]]</f>
        <v>1.3197660000000002E-3</v>
      </c>
      <c r="K73" s="1">
        <f>Table1[[#This Row],[Energy/Cycle]]-Table1[[#This Row],[Edc]]</f>
        <v>2.6198340000000006E-3</v>
      </c>
      <c r="L73" s="1">
        <f>2*Table1[[#This Row],[E Capacitor]]/(Vin^2-(Vin-V_ripple)^2)</f>
        <v>3.5659161207999032E-3</v>
      </c>
      <c r="M73" s="1">
        <f>Table1[[#This Row],[Energy/Cycle]]-(Table1[[#This Row],[E Capacitor]]+Table1[[#This Row],[Edc]])</f>
        <v>0</v>
      </c>
      <c r="N7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9.4190745586833273</v>
      </c>
    </row>
    <row r="74" spans="1:14" x14ac:dyDescent="0.25">
      <c r="A74">
        <v>0.34</v>
      </c>
      <c r="B74">
        <f t="shared" si="2"/>
        <v>9.9960000000000004</v>
      </c>
      <c r="C74">
        <f>(Vin-Table1[[#This Row],[Vout]])*Table1[[#This Row],[Duty]]/(Frequency*Inductance)</f>
        <v>1.88496</v>
      </c>
      <c r="D74">
        <f>Irms-Table1[[#This Row],[Ripple Current (A)]]</f>
        <v>18.11504</v>
      </c>
      <c r="E74">
        <f>Irms+Table1[[#This Row],[Ripple Current (A)]]</f>
        <v>21.88496</v>
      </c>
      <c r="F74">
        <f>Table1[[#This Row],[Vout]]*(Table1[[#This Row],[Imin]]+Table1[[#This Row],[Ripple Current (A)]])</f>
        <v>199.92000000000002</v>
      </c>
      <c r="G74" s="1">
        <f>Table1[[#This Row],[Pout]]/Frequency</f>
        <v>3.9984E-3</v>
      </c>
      <c r="H74" s="1">
        <f>Table1[[#This Row],[Duty]]/Frequency</f>
        <v>6.8000000000000001E-6</v>
      </c>
      <c r="I74" s="1">
        <f>Table1[[#This Row],[Pout]]/Vin</f>
        <v>6.8000000000000007</v>
      </c>
      <c r="J74" s="1">
        <f>Vin*Table1[[#This Row],[Idc]]*Table1[[#This Row],[Time On]]</f>
        <v>1.3594560000000002E-3</v>
      </c>
      <c r="K74" s="1">
        <f>Table1[[#This Row],[Energy/Cycle]]-Table1[[#This Row],[Edc]]</f>
        <v>2.6389439999999998E-3</v>
      </c>
      <c r="L74" s="1">
        <f>2*Table1[[#This Row],[E Capacitor]]/(Vin^2-(Vin-V_ripple)^2)</f>
        <v>3.5919271799236814E-3</v>
      </c>
      <c r="M74" s="1">
        <f>Table1[[#This Row],[Energy/Cycle]]-(Table1[[#This Row],[E Capacitor]]+Table1[[#This Row],[Edc]])</f>
        <v>0</v>
      </c>
      <c r="N7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9.4528999919152845</v>
      </c>
    </row>
    <row r="75" spans="1:14" x14ac:dyDescent="0.25">
      <c r="A75">
        <v>0.34499999999999997</v>
      </c>
      <c r="B75">
        <f t="shared" si="2"/>
        <v>10.142999999999999</v>
      </c>
      <c r="C75">
        <f>(Vin-Table1[[#This Row],[Vout]])*Table1[[#This Row],[Duty]]/(Frequency*Inductance)</f>
        <v>1.8981899999999998</v>
      </c>
      <c r="D75">
        <f>Irms-Table1[[#This Row],[Ripple Current (A)]]</f>
        <v>18.10181</v>
      </c>
      <c r="E75">
        <f>Irms+Table1[[#This Row],[Ripple Current (A)]]</f>
        <v>21.89819</v>
      </c>
      <c r="F75">
        <f>Table1[[#This Row],[Vout]]*(Table1[[#This Row],[Imin]]+Table1[[#This Row],[Ripple Current (A)]])</f>
        <v>202.85999999999999</v>
      </c>
      <c r="G75" s="1">
        <f>Table1[[#This Row],[Pout]]/Frequency</f>
        <v>4.0571999999999995E-3</v>
      </c>
      <c r="H75" s="1">
        <f>Table1[[#This Row],[Duty]]/Frequency</f>
        <v>6.8999999999999992E-6</v>
      </c>
      <c r="I75" s="1">
        <f>Table1[[#This Row],[Pout]]/Vin</f>
        <v>6.8999999999999995</v>
      </c>
      <c r="J75" s="1">
        <f>Vin*Table1[[#This Row],[Idc]]*Table1[[#This Row],[Time On]]</f>
        <v>1.3997339999999997E-3</v>
      </c>
      <c r="K75" s="1">
        <f>Table1[[#This Row],[Energy/Cycle]]-Table1[[#This Row],[Edc]]</f>
        <v>2.6574659999999998E-3</v>
      </c>
      <c r="L75" s="1">
        <f>2*Table1[[#This Row],[E Capacitor]]/(Vin^2-(Vin-V_ripple)^2)</f>
        <v>3.6171378987667284E-3</v>
      </c>
      <c r="M75" s="1">
        <f>Table1[[#This Row],[Energy/Cycle]]-(Table1[[#This Row],[E Capacitor]]+Table1[[#This Row],[Edc]])</f>
        <v>0</v>
      </c>
      <c r="N7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9.4855490401583253</v>
      </c>
    </row>
    <row r="76" spans="1:14" x14ac:dyDescent="0.25">
      <c r="A76">
        <v>0.35</v>
      </c>
      <c r="B76">
        <f t="shared" si="2"/>
        <v>10.29</v>
      </c>
      <c r="C76">
        <f>(Vin-Table1[[#This Row],[Vout]])*Table1[[#This Row],[Duty]]/(Frequency*Inductance)</f>
        <v>1.911</v>
      </c>
      <c r="D76">
        <f>Irms-Table1[[#This Row],[Ripple Current (A)]]</f>
        <v>18.088999999999999</v>
      </c>
      <c r="E76">
        <f>Irms+Table1[[#This Row],[Ripple Current (A)]]</f>
        <v>21.911000000000001</v>
      </c>
      <c r="F76">
        <f>Table1[[#This Row],[Vout]]*(Table1[[#This Row],[Imin]]+Table1[[#This Row],[Ripple Current (A)]])</f>
        <v>205.79999999999998</v>
      </c>
      <c r="G76" s="1">
        <f>Table1[[#This Row],[Pout]]/Frequency</f>
        <v>4.1159999999999999E-3</v>
      </c>
      <c r="H76" s="1">
        <f>Table1[[#This Row],[Duty]]/Frequency</f>
        <v>6.9999999999999999E-6</v>
      </c>
      <c r="I76" s="1">
        <f>Table1[[#This Row],[Pout]]/Vin</f>
        <v>7</v>
      </c>
      <c r="J76" s="1">
        <f>Vin*Table1[[#This Row],[Idc]]*Table1[[#This Row],[Time On]]</f>
        <v>1.4405999999999998E-3</v>
      </c>
      <c r="K76" s="1">
        <f>Table1[[#This Row],[Energy/Cycle]]-Table1[[#This Row],[Edc]]</f>
        <v>2.6754000000000001E-3</v>
      </c>
      <c r="L76" s="1">
        <f>2*Table1[[#This Row],[E Capacitor]]/(Vin^2-(Vin-V_ripple)^2)</f>
        <v>3.6415482773290444E-3</v>
      </c>
      <c r="M76" s="1">
        <f>Table1[[#This Row],[Energy/Cycle]]-(Table1[[#This Row],[E Capacitor]]+Table1[[#This Row],[Edc]])</f>
        <v>0</v>
      </c>
      <c r="N7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9.5170343358632472</v>
      </c>
    </row>
    <row r="77" spans="1:14" x14ac:dyDescent="0.25">
      <c r="A77">
        <v>0.35499999999999998</v>
      </c>
      <c r="B77">
        <f t="shared" si="2"/>
        <v>10.436999999999999</v>
      </c>
      <c r="C77">
        <f>(Vin-Table1[[#This Row],[Vout]])*Table1[[#This Row],[Duty]]/(Frequency*Inductance)</f>
        <v>1.9233900000000002</v>
      </c>
      <c r="D77">
        <f>Irms-Table1[[#This Row],[Ripple Current (A)]]</f>
        <v>18.076609999999999</v>
      </c>
      <c r="E77">
        <f>Irms+Table1[[#This Row],[Ripple Current (A)]]</f>
        <v>21.923390000000001</v>
      </c>
      <c r="F77">
        <f>Table1[[#This Row],[Vout]]*(Table1[[#This Row],[Imin]]+Table1[[#This Row],[Ripple Current (A)]])</f>
        <v>208.73999999999998</v>
      </c>
      <c r="G77" s="1">
        <f>Table1[[#This Row],[Pout]]/Frequency</f>
        <v>4.1747999999999993E-3</v>
      </c>
      <c r="H77" s="1">
        <f>Table1[[#This Row],[Duty]]/Frequency</f>
        <v>7.0999999999999998E-6</v>
      </c>
      <c r="I77" s="1">
        <f>Table1[[#This Row],[Pout]]/Vin</f>
        <v>7.1</v>
      </c>
      <c r="J77" s="1">
        <f>Vin*Table1[[#This Row],[Idc]]*Table1[[#This Row],[Time On]]</f>
        <v>1.4820539999999998E-3</v>
      </c>
      <c r="K77" s="1">
        <f>Table1[[#This Row],[Energy/Cycle]]-Table1[[#This Row],[Edc]]</f>
        <v>2.6927459999999993E-3</v>
      </c>
      <c r="L77" s="1">
        <f>2*Table1[[#This Row],[E Capacitor]]/(Vin^2-(Vin-V_ripple)^2)</f>
        <v>3.665158315610627E-3</v>
      </c>
      <c r="M77" s="1">
        <f>Table1[[#This Row],[Energy/Cycle]]-(Table1[[#This Row],[E Capacitor]]+Table1[[#This Row],[Edc]])</f>
        <v>0</v>
      </c>
      <c r="N7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9.5473679212703164</v>
      </c>
    </row>
    <row r="78" spans="1:14" x14ac:dyDescent="0.25">
      <c r="A78">
        <v>0.36</v>
      </c>
      <c r="B78">
        <f t="shared" si="2"/>
        <v>10.584</v>
      </c>
      <c r="C78">
        <f>(Vin-Table1[[#This Row],[Vout]])*Table1[[#This Row],[Duty]]/(Frequency*Inductance)</f>
        <v>1.93536</v>
      </c>
      <c r="D78">
        <f>Irms-Table1[[#This Row],[Ripple Current (A)]]</f>
        <v>18.064640000000001</v>
      </c>
      <c r="E78">
        <f>Irms+Table1[[#This Row],[Ripple Current (A)]]</f>
        <v>21.935359999999999</v>
      </c>
      <c r="F78">
        <f>Table1[[#This Row],[Vout]]*(Table1[[#This Row],[Imin]]+Table1[[#This Row],[Ripple Current (A)]])</f>
        <v>211.68</v>
      </c>
      <c r="G78" s="1">
        <f>Table1[[#This Row],[Pout]]/Frequency</f>
        <v>4.2336000000000006E-3</v>
      </c>
      <c r="H78" s="1">
        <f>Table1[[#This Row],[Duty]]/Frequency</f>
        <v>7.1999999999999997E-6</v>
      </c>
      <c r="I78" s="1">
        <f>Table1[[#This Row],[Pout]]/Vin</f>
        <v>7.2</v>
      </c>
      <c r="J78" s="1">
        <f>Vin*Table1[[#This Row],[Idc]]*Table1[[#This Row],[Time On]]</f>
        <v>1.524096E-3</v>
      </c>
      <c r="K78" s="1">
        <f>Table1[[#This Row],[Energy/Cycle]]-Table1[[#This Row],[Edc]]</f>
        <v>2.7095040000000006E-3</v>
      </c>
      <c r="L78" s="1">
        <f>2*Table1[[#This Row],[E Capacitor]]/(Vin^2-(Vin-V_ripple)^2)</f>
        <v>3.6879680136114811E-3</v>
      </c>
      <c r="M78" s="1">
        <f>Table1[[#This Row],[Energy/Cycle]]-(Table1[[#This Row],[E Capacitor]]+Table1[[#This Row],[Edc]])</f>
        <v>0</v>
      </c>
      <c r="N7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9.5765612722129028</v>
      </c>
    </row>
    <row r="79" spans="1:14" x14ac:dyDescent="0.25">
      <c r="A79">
        <v>0.36499999999999999</v>
      </c>
      <c r="B79">
        <f t="shared" si="2"/>
        <v>10.731</v>
      </c>
      <c r="C79">
        <f>(Vin-Table1[[#This Row],[Vout]])*Table1[[#This Row],[Duty]]/(Frequency*Inductance)</f>
        <v>1.9469099999999997</v>
      </c>
      <c r="D79">
        <f>Irms-Table1[[#This Row],[Ripple Current (A)]]</f>
        <v>18.053090000000001</v>
      </c>
      <c r="E79">
        <f>Irms+Table1[[#This Row],[Ripple Current (A)]]</f>
        <v>21.946909999999999</v>
      </c>
      <c r="F79">
        <f>Table1[[#This Row],[Vout]]*(Table1[[#This Row],[Imin]]+Table1[[#This Row],[Ripple Current (A)]])</f>
        <v>214.62</v>
      </c>
      <c r="G79" s="1">
        <f>Table1[[#This Row],[Pout]]/Frequency</f>
        <v>4.2924E-3</v>
      </c>
      <c r="H79" s="1">
        <f>Table1[[#This Row],[Duty]]/Frequency</f>
        <v>7.2999999999999996E-6</v>
      </c>
      <c r="I79" s="1">
        <f>Table1[[#This Row],[Pout]]/Vin</f>
        <v>7.3000000000000007</v>
      </c>
      <c r="J79" s="1">
        <f>Vin*Table1[[#This Row],[Idc]]*Table1[[#This Row],[Time On]]</f>
        <v>1.5667259999999998E-3</v>
      </c>
      <c r="K79" s="1">
        <f>Table1[[#This Row],[Energy/Cycle]]-Table1[[#This Row],[Edc]]</f>
        <v>2.725674E-3</v>
      </c>
      <c r="L79" s="1">
        <f>2*Table1[[#This Row],[E Capacitor]]/(Vin^2-(Vin-V_ripple)^2)</f>
        <v>3.709977371331601E-3</v>
      </c>
      <c r="M79" s="1">
        <f>Table1[[#This Row],[Energy/Cycle]]-(Table1[[#This Row],[E Capacitor]]+Table1[[#This Row],[Edc]])</f>
        <v>0</v>
      </c>
      <c r="N7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9.604625320298263</v>
      </c>
    </row>
    <row r="80" spans="1:14" x14ac:dyDescent="0.25">
      <c r="A80">
        <v>0.37</v>
      </c>
      <c r="B80">
        <f t="shared" si="2"/>
        <v>10.878</v>
      </c>
      <c r="C80">
        <f>(Vin-Table1[[#This Row],[Vout]])*Table1[[#This Row],[Duty]]/(Frequency*Inductance)</f>
        <v>1.9580400000000002</v>
      </c>
      <c r="D80">
        <f>Irms-Table1[[#This Row],[Ripple Current (A)]]</f>
        <v>18.04196</v>
      </c>
      <c r="E80">
        <f>Irms+Table1[[#This Row],[Ripple Current (A)]]</f>
        <v>21.95804</v>
      </c>
      <c r="F80">
        <f>Table1[[#This Row],[Vout]]*(Table1[[#This Row],[Imin]]+Table1[[#This Row],[Ripple Current (A)]])</f>
        <v>217.56</v>
      </c>
      <c r="G80" s="1">
        <f>Table1[[#This Row],[Pout]]/Frequency</f>
        <v>4.3512000000000004E-3</v>
      </c>
      <c r="H80" s="1">
        <f>Table1[[#This Row],[Duty]]/Frequency</f>
        <v>7.4000000000000003E-6</v>
      </c>
      <c r="I80" s="1">
        <f>Table1[[#This Row],[Pout]]/Vin</f>
        <v>7.4</v>
      </c>
      <c r="J80" s="1">
        <f>Vin*Table1[[#This Row],[Idc]]*Table1[[#This Row],[Time On]]</f>
        <v>1.6099440000000001E-3</v>
      </c>
      <c r="K80" s="1">
        <f>Table1[[#This Row],[Energy/Cycle]]-Table1[[#This Row],[Edc]]</f>
        <v>2.7412560000000001E-3</v>
      </c>
      <c r="L80" s="1">
        <f>2*Table1[[#This Row],[E Capacitor]]/(Vin^2-(Vin-V_ripple)^2)</f>
        <v>3.7311863887709898E-3</v>
      </c>
      <c r="M80" s="1">
        <f>Table1[[#This Row],[Energy/Cycle]]-(Table1[[#This Row],[E Capacitor]]+Table1[[#This Row],[Edc]])</f>
        <v>0</v>
      </c>
      <c r="N8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9.6315704735798935</v>
      </c>
    </row>
    <row r="81" spans="1:14" x14ac:dyDescent="0.25">
      <c r="A81">
        <v>0.375</v>
      </c>
      <c r="B81">
        <f t="shared" si="2"/>
        <v>11.024999999999999</v>
      </c>
      <c r="C81">
        <f>(Vin-Table1[[#This Row],[Vout]])*Table1[[#This Row],[Duty]]/(Frequency*Inductance)</f>
        <v>1.9687500000000002</v>
      </c>
      <c r="D81">
        <f>Irms-Table1[[#This Row],[Ripple Current (A)]]</f>
        <v>18.03125</v>
      </c>
      <c r="E81">
        <f>Irms+Table1[[#This Row],[Ripple Current (A)]]</f>
        <v>21.96875</v>
      </c>
      <c r="F81">
        <f>Table1[[#This Row],[Vout]]*(Table1[[#This Row],[Imin]]+Table1[[#This Row],[Ripple Current (A)]])</f>
        <v>220.49999999999997</v>
      </c>
      <c r="G81" s="1">
        <f>Table1[[#This Row],[Pout]]/Frequency</f>
        <v>4.4099999999999999E-3</v>
      </c>
      <c r="H81" s="1">
        <f>Table1[[#This Row],[Duty]]/Frequency</f>
        <v>7.5000000000000002E-6</v>
      </c>
      <c r="I81" s="1">
        <f>Table1[[#This Row],[Pout]]/Vin</f>
        <v>7.4999999999999991</v>
      </c>
      <c r="J81" s="1">
        <f>Vin*Table1[[#This Row],[Idc]]*Table1[[#This Row],[Time On]]</f>
        <v>1.6537499999999998E-3</v>
      </c>
      <c r="K81" s="1">
        <f>Table1[[#This Row],[Energy/Cycle]]-Table1[[#This Row],[Edc]]</f>
        <v>2.75625E-3</v>
      </c>
      <c r="L81" s="1">
        <f>2*Table1[[#This Row],[E Capacitor]]/(Vin^2-(Vin-V_ripple)^2)</f>
        <v>3.7515950659296471E-3</v>
      </c>
      <c r="M81" s="1">
        <f>Table1[[#This Row],[Energy/Cycle]]-(Table1[[#This Row],[E Capacitor]]+Table1[[#This Row],[Edc]])</f>
        <v>0</v>
      </c>
      <c r="N8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9.6574066358255575</v>
      </c>
    </row>
    <row r="82" spans="1:14" x14ac:dyDescent="0.25">
      <c r="A82">
        <v>0.38</v>
      </c>
      <c r="B82">
        <f t="shared" si="2"/>
        <v>11.171999999999999</v>
      </c>
      <c r="C82">
        <f>(Vin-Table1[[#This Row],[Vout]])*Table1[[#This Row],[Duty]]/(Frequency*Inductance)</f>
        <v>1.9790400000000006</v>
      </c>
      <c r="D82">
        <f>Irms-Table1[[#This Row],[Ripple Current (A)]]</f>
        <v>18.020959999999999</v>
      </c>
      <c r="E82">
        <f>Irms+Table1[[#This Row],[Ripple Current (A)]]</f>
        <v>21.979040000000001</v>
      </c>
      <c r="F82">
        <f>Table1[[#This Row],[Vout]]*(Table1[[#This Row],[Imin]]+Table1[[#This Row],[Ripple Current (A)]])</f>
        <v>223.43999999999997</v>
      </c>
      <c r="G82" s="1">
        <f>Table1[[#This Row],[Pout]]/Frequency</f>
        <v>4.4687999999999993E-3</v>
      </c>
      <c r="H82" s="1">
        <f>Table1[[#This Row],[Duty]]/Frequency</f>
        <v>7.6000000000000001E-6</v>
      </c>
      <c r="I82" s="1">
        <f>Table1[[#This Row],[Pout]]/Vin</f>
        <v>7.6</v>
      </c>
      <c r="J82" s="1">
        <f>Vin*Table1[[#This Row],[Idc]]*Table1[[#This Row],[Time On]]</f>
        <v>1.6981439999999997E-3</v>
      </c>
      <c r="K82" s="1">
        <f>Table1[[#This Row],[Energy/Cycle]]-Table1[[#This Row],[Edc]]</f>
        <v>2.7706559999999998E-3</v>
      </c>
      <c r="L82" s="1">
        <f>2*Table1[[#This Row],[E Capacitor]]/(Vin^2-(Vin-V_ripple)^2)</f>
        <v>3.7712034028075723E-3</v>
      </c>
      <c r="M82" s="1">
        <f>Table1[[#This Row],[Energy/Cycle]]-(Table1[[#This Row],[E Capacitor]]+Table1[[#This Row],[Edc]])</f>
        <v>0</v>
      </c>
      <c r="N8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9.6821432244758707</v>
      </c>
    </row>
    <row r="83" spans="1:14" x14ac:dyDescent="0.25">
      <c r="A83">
        <v>0.38500000000000001</v>
      </c>
      <c r="B83">
        <f t="shared" si="2"/>
        <v>11.318999999999999</v>
      </c>
      <c r="C83">
        <f>(Vin-Table1[[#This Row],[Vout]])*Table1[[#This Row],[Duty]]/(Frequency*Inductance)</f>
        <v>1.9889100000000004</v>
      </c>
      <c r="D83">
        <f>Irms-Table1[[#This Row],[Ripple Current (A)]]</f>
        <v>18.011089999999999</v>
      </c>
      <c r="E83">
        <f>Irms+Table1[[#This Row],[Ripple Current (A)]]</f>
        <v>21.988910000000001</v>
      </c>
      <c r="F83">
        <f>Table1[[#This Row],[Vout]]*(Table1[[#This Row],[Imin]]+Table1[[#This Row],[Ripple Current (A)]])</f>
        <v>226.38</v>
      </c>
      <c r="G83" s="1">
        <f>Table1[[#This Row],[Pout]]/Frequency</f>
        <v>4.5275999999999997E-3</v>
      </c>
      <c r="H83" s="1">
        <f>Table1[[#This Row],[Duty]]/Frequency</f>
        <v>7.7000000000000008E-6</v>
      </c>
      <c r="I83" s="1">
        <f>Table1[[#This Row],[Pout]]/Vin</f>
        <v>7.7</v>
      </c>
      <c r="J83" s="1">
        <f>Vin*Table1[[#This Row],[Idc]]*Table1[[#This Row],[Time On]]</f>
        <v>1.7431260000000002E-3</v>
      </c>
      <c r="K83" s="1">
        <f>Table1[[#This Row],[Energy/Cycle]]-Table1[[#This Row],[Edc]]</f>
        <v>2.7844739999999995E-3</v>
      </c>
      <c r="L83" s="1">
        <f>2*Table1[[#This Row],[E Capacitor]]/(Vin^2-(Vin-V_ripple)^2)</f>
        <v>3.790011399404766E-3</v>
      </c>
      <c r="M83" s="1">
        <f>Table1[[#This Row],[Energy/Cycle]]-(Table1[[#This Row],[E Capacitor]]+Table1[[#This Row],[Edc]])</f>
        <v>0</v>
      </c>
      <c r="N8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9.7057891873798976</v>
      </c>
    </row>
    <row r="84" spans="1:14" x14ac:dyDescent="0.25">
      <c r="A84">
        <v>0.39</v>
      </c>
      <c r="B84">
        <f t="shared" si="2"/>
        <v>11.465999999999999</v>
      </c>
      <c r="C84">
        <f>(Vin-Table1[[#This Row],[Vout]])*Table1[[#This Row],[Duty]]/(Frequency*Inductance)</f>
        <v>1.9983600000000001</v>
      </c>
      <c r="D84">
        <f>Irms-Table1[[#This Row],[Ripple Current (A)]]</f>
        <v>18.001639999999998</v>
      </c>
      <c r="E84">
        <f>Irms+Table1[[#This Row],[Ripple Current (A)]]</f>
        <v>21.998360000000002</v>
      </c>
      <c r="F84">
        <f>Table1[[#This Row],[Vout]]*(Table1[[#This Row],[Imin]]+Table1[[#This Row],[Ripple Current (A)]])</f>
        <v>229.32</v>
      </c>
      <c r="G84" s="1">
        <f>Table1[[#This Row],[Pout]]/Frequency</f>
        <v>4.5864E-3</v>
      </c>
      <c r="H84" s="1">
        <f>Table1[[#This Row],[Duty]]/Frequency</f>
        <v>7.7999999999999999E-6</v>
      </c>
      <c r="I84" s="1">
        <f>Table1[[#This Row],[Pout]]/Vin</f>
        <v>7.8</v>
      </c>
      <c r="J84" s="1">
        <f>Vin*Table1[[#This Row],[Idc]]*Table1[[#This Row],[Time On]]</f>
        <v>1.788696E-3</v>
      </c>
      <c r="K84" s="1">
        <f>Table1[[#This Row],[Energy/Cycle]]-Table1[[#This Row],[Edc]]</f>
        <v>2.7977039999999998E-3</v>
      </c>
      <c r="L84" s="1">
        <f>2*Table1[[#This Row],[E Capacitor]]/(Vin^2-(Vin-V_ripple)^2)</f>
        <v>3.808019055721229E-3</v>
      </c>
      <c r="M84" s="1">
        <f>Table1[[#This Row],[Energy/Cycle]]-(Table1[[#This Row],[E Capacitor]]+Table1[[#This Row],[Edc]])</f>
        <v>0</v>
      </c>
      <c r="N8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9.7283530183866151</v>
      </c>
    </row>
    <row r="85" spans="1:14" x14ac:dyDescent="0.25">
      <c r="A85">
        <v>0.39500000000000002</v>
      </c>
      <c r="B85">
        <f t="shared" si="2"/>
        <v>11.613</v>
      </c>
      <c r="C85">
        <f>(Vin-Table1[[#This Row],[Vout]])*Table1[[#This Row],[Duty]]/(Frequency*Inductance)</f>
        <v>2.00739</v>
      </c>
      <c r="D85">
        <f>Irms-Table1[[#This Row],[Ripple Current (A)]]</f>
        <v>17.992609999999999</v>
      </c>
      <c r="E85">
        <f>Irms+Table1[[#This Row],[Ripple Current (A)]]</f>
        <v>22.007390000000001</v>
      </c>
      <c r="F85">
        <f>Table1[[#This Row],[Vout]]*(Table1[[#This Row],[Imin]]+Table1[[#This Row],[Ripple Current (A)]])</f>
        <v>232.26</v>
      </c>
      <c r="G85" s="1">
        <f>Table1[[#This Row],[Pout]]/Frequency</f>
        <v>4.6451999999999995E-3</v>
      </c>
      <c r="H85" s="1">
        <f>Table1[[#This Row],[Duty]]/Frequency</f>
        <v>7.9000000000000006E-6</v>
      </c>
      <c r="I85" s="1">
        <f>Table1[[#This Row],[Pout]]/Vin</f>
        <v>7.9</v>
      </c>
      <c r="J85" s="1">
        <f>Vin*Table1[[#This Row],[Idc]]*Table1[[#This Row],[Time On]]</f>
        <v>1.8348540000000001E-3</v>
      </c>
      <c r="K85" s="1">
        <f>Table1[[#This Row],[Energy/Cycle]]-Table1[[#This Row],[Edc]]</f>
        <v>2.8103459999999992E-3</v>
      </c>
      <c r="L85" s="1">
        <f>2*Table1[[#This Row],[E Capacitor]]/(Vin^2-(Vin-V_ripple)^2)</f>
        <v>3.8252263717569587E-3</v>
      </c>
      <c r="M85" s="1">
        <f>Table1[[#This Row],[Energy/Cycle]]-(Table1[[#This Row],[E Capacitor]]+Table1[[#This Row],[Edc]])</f>
        <v>0</v>
      </c>
      <c r="N8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9.7498427718642464</v>
      </c>
    </row>
    <row r="86" spans="1:14" x14ac:dyDescent="0.25">
      <c r="A86">
        <v>0.4</v>
      </c>
      <c r="B86">
        <f t="shared" si="2"/>
        <v>11.76</v>
      </c>
      <c r="C86">
        <f>(Vin-Table1[[#This Row],[Vout]])*Table1[[#This Row],[Duty]]/(Frequency*Inductance)</f>
        <v>2.0160000000000005</v>
      </c>
      <c r="D86">
        <f>Irms-Table1[[#This Row],[Ripple Current (A)]]</f>
        <v>17.983999999999998</v>
      </c>
      <c r="E86">
        <f>Irms+Table1[[#This Row],[Ripple Current (A)]]</f>
        <v>22.016000000000002</v>
      </c>
      <c r="F86">
        <f>Table1[[#This Row],[Vout]]*(Table1[[#This Row],[Imin]]+Table1[[#This Row],[Ripple Current (A)]])</f>
        <v>235.2</v>
      </c>
      <c r="G86" s="1">
        <f>Table1[[#This Row],[Pout]]/Frequency</f>
        <v>4.7039999999999998E-3</v>
      </c>
      <c r="H86" s="1">
        <f>Table1[[#This Row],[Duty]]/Frequency</f>
        <v>7.9999999999999996E-6</v>
      </c>
      <c r="I86" s="1">
        <f>Table1[[#This Row],[Pout]]/Vin</f>
        <v>8</v>
      </c>
      <c r="J86" s="1">
        <f>Vin*Table1[[#This Row],[Idc]]*Table1[[#This Row],[Time On]]</f>
        <v>1.8815999999999998E-3</v>
      </c>
      <c r="K86" s="1">
        <f>Table1[[#This Row],[Energy/Cycle]]-Table1[[#This Row],[Edc]]</f>
        <v>2.8224000000000001E-3</v>
      </c>
      <c r="L86" s="1">
        <f>2*Table1[[#This Row],[E Capacitor]]/(Vin^2-(Vin-V_ripple)^2)</f>
        <v>3.841633347511959E-3</v>
      </c>
      <c r="M86" s="1">
        <f>Table1[[#This Row],[Energy/Cycle]]-(Table1[[#This Row],[E Capacitor]]+Table1[[#This Row],[Edc]])</f>
        <v>0</v>
      </c>
      <c r="N8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9.7702660762130726</v>
      </c>
    </row>
    <row r="87" spans="1:14" x14ac:dyDescent="0.25">
      <c r="A87">
        <v>0.40500000000000003</v>
      </c>
      <c r="B87">
        <f t="shared" si="2"/>
        <v>11.907</v>
      </c>
      <c r="C87">
        <f>(Vin-Table1[[#This Row],[Vout]])*Table1[[#This Row],[Duty]]/(Frequency*Inductance)</f>
        <v>2.0241900000000004</v>
      </c>
      <c r="D87">
        <f>Irms-Table1[[#This Row],[Ripple Current (A)]]</f>
        <v>17.975809999999999</v>
      </c>
      <c r="E87">
        <f>Irms+Table1[[#This Row],[Ripple Current (A)]]</f>
        <v>22.024190000000001</v>
      </c>
      <c r="F87">
        <f>Table1[[#This Row],[Vout]]*(Table1[[#This Row],[Imin]]+Table1[[#This Row],[Ripple Current (A)]])</f>
        <v>238.14</v>
      </c>
      <c r="G87" s="1">
        <f>Table1[[#This Row],[Pout]]/Frequency</f>
        <v>4.7627999999999993E-3</v>
      </c>
      <c r="H87" s="1">
        <f>Table1[[#This Row],[Duty]]/Frequency</f>
        <v>8.1000000000000004E-6</v>
      </c>
      <c r="I87" s="1">
        <f>Table1[[#This Row],[Pout]]/Vin</f>
        <v>8.1</v>
      </c>
      <c r="J87" s="1">
        <f>Vin*Table1[[#This Row],[Idc]]*Table1[[#This Row],[Time On]]</f>
        <v>1.928934E-3</v>
      </c>
      <c r="K87" s="1">
        <f>Table1[[#This Row],[Energy/Cycle]]-Table1[[#This Row],[Edc]]</f>
        <v>2.8338659999999991E-3</v>
      </c>
      <c r="L87" s="1">
        <f>2*Table1[[#This Row],[E Capacitor]]/(Vin^2-(Vin-V_ripple)^2)</f>
        <v>3.8572399829862247E-3</v>
      </c>
      <c r="M87" s="1">
        <f>Table1[[#This Row],[Energy/Cycle]]-(Table1[[#This Row],[E Capacitor]]+Table1[[#This Row],[Edc]])</f>
        <v>0</v>
      </c>
      <c r="N8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9.7896301464318096</v>
      </c>
    </row>
    <row r="88" spans="1:14" x14ac:dyDescent="0.25">
      <c r="A88">
        <v>0.41</v>
      </c>
      <c r="B88">
        <f t="shared" si="2"/>
        <v>12.053999999999998</v>
      </c>
      <c r="C88">
        <f>(Vin-Table1[[#This Row],[Vout]])*Table1[[#This Row],[Duty]]/(Frequency*Inductance)</f>
        <v>2.0319600000000002</v>
      </c>
      <c r="D88">
        <f>Irms-Table1[[#This Row],[Ripple Current (A)]]</f>
        <v>17.968039999999998</v>
      </c>
      <c r="E88">
        <f>Irms+Table1[[#This Row],[Ripple Current (A)]]</f>
        <v>22.031960000000002</v>
      </c>
      <c r="F88">
        <f>Table1[[#This Row],[Vout]]*(Table1[[#This Row],[Imin]]+Table1[[#This Row],[Ripple Current (A)]])</f>
        <v>241.07999999999998</v>
      </c>
      <c r="G88" s="1">
        <f>Table1[[#This Row],[Pout]]/Frequency</f>
        <v>4.8215999999999997E-3</v>
      </c>
      <c r="H88" s="1">
        <f>Table1[[#This Row],[Duty]]/Frequency</f>
        <v>8.1999999999999994E-6</v>
      </c>
      <c r="I88" s="1">
        <f>Table1[[#This Row],[Pout]]/Vin</f>
        <v>8.1999999999999993</v>
      </c>
      <c r="J88" s="1">
        <f>Vin*Table1[[#This Row],[Idc]]*Table1[[#This Row],[Time On]]</f>
        <v>1.9768559999999995E-3</v>
      </c>
      <c r="K88" s="1">
        <f>Table1[[#This Row],[Energy/Cycle]]-Table1[[#This Row],[Edc]]</f>
        <v>2.8447440000000002E-3</v>
      </c>
      <c r="L88" s="1">
        <f>2*Table1[[#This Row],[E Capacitor]]/(Vin^2-(Vin-V_ripple)^2)</f>
        <v>3.8720462781797619E-3</v>
      </c>
      <c r="M88" s="1">
        <f>Table1[[#This Row],[Energy/Cycle]]-(Table1[[#This Row],[E Capacitor]]+Table1[[#This Row],[Edc]])</f>
        <v>0</v>
      </c>
      <c r="N8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9.8079417957922246</v>
      </c>
    </row>
    <row r="89" spans="1:14" x14ac:dyDescent="0.25">
      <c r="A89">
        <v>0.41499999999999998</v>
      </c>
      <c r="B89">
        <f t="shared" si="2"/>
        <v>12.200999999999999</v>
      </c>
      <c r="C89">
        <f>(Vin-Table1[[#This Row],[Vout]])*Table1[[#This Row],[Duty]]/(Frequency*Inductance)</f>
        <v>2.03931</v>
      </c>
      <c r="D89">
        <f>Irms-Table1[[#This Row],[Ripple Current (A)]]</f>
        <v>17.96069</v>
      </c>
      <c r="E89">
        <f>Irms+Table1[[#This Row],[Ripple Current (A)]]</f>
        <v>22.03931</v>
      </c>
      <c r="F89">
        <f>Table1[[#This Row],[Vout]]*(Table1[[#This Row],[Imin]]+Table1[[#This Row],[Ripple Current (A)]])</f>
        <v>244.01999999999998</v>
      </c>
      <c r="G89" s="1">
        <f>Table1[[#This Row],[Pout]]/Frequency</f>
        <v>4.8804E-3</v>
      </c>
      <c r="H89" s="1">
        <f>Table1[[#This Row],[Duty]]/Frequency</f>
        <v>8.3000000000000002E-6</v>
      </c>
      <c r="I89" s="1">
        <f>Table1[[#This Row],[Pout]]/Vin</f>
        <v>8.2999999999999989</v>
      </c>
      <c r="J89" s="1">
        <f>Vin*Table1[[#This Row],[Idc]]*Table1[[#This Row],[Time On]]</f>
        <v>2.0253659999999998E-3</v>
      </c>
      <c r="K89" s="1">
        <f>Table1[[#This Row],[Energy/Cycle]]-Table1[[#This Row],[Edc]]</f>
        <v>2.8550340000000002E-3</v>
      </c>
      <c r="L89" s="1">
        <f>2*Table1[[#This Row],[E Capacitor]]/(Vin^2-(Vin-V_ripple)^2)</f>
        <v>3.8860522330925662E-3</v>
      </c>
      <c r="M89" s="1">
        <f>Table1[[#This Row],[Energy/Cycle]]-(Table1[[#This Row],[E Capacitor]]+Table1[[#This Row],[Edc]])</f>
        <v>0</v>
      </c>
      <c r="N8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9.8252074466720281</v>
      </c>
    </row>
    <row r="90" spans="1:14" x14ac:dyDescent="0.25">
      <c r="A90">
        <v>0.42</v>
      </c>
      <c r="B90">
        <f t="shared" si="2"/>
        <v>12.347999999999999</v>
      </c>
      <c r="C90">
        <f>(Vin-Table1[[#This Row],[Vout]])*Table1[[#This Row],[Duty]]/(Frequency*Inductance)</f>
        <v>2.0462400000000001</v>
      </c>
      <c r="D90">
        <f>Irms-Table1[[#This Row],[Ripple Current (A)]]</f>
        <v>17.953759999999999</v>
      </c>
      <c r="E90">
        <f>Irms+Table1[[#This Row],[Ripple Current (A)]]</f>
        <v>22.046240000000001</v>
      </c>
      <c r="F90">
        <f>Table1[[#This Row],[Vout]]*(Table1[[#This Row],[Imin]]+Table1[[#This Row],[Ripple Current (A)]])</f>
        <v>246.95999999999998</v>
      </c>
      <c r="G90" s="1">
        <f>Table1[[#This Row],[Pout]]/Frequency</f>
        <v>4.9391999999999995E-3</v>
      </c>
      <c r="H90" s="1">
        <f>Table1[[#This Row],[Duty]]/Frequency</f>
        <v>8.3999999999999992E-6</v>
      </c>
      <c r="I90" s="1">
        <f>Table1[[#This Row],[Pout]]/Vin</f>
        <v>8.4</v>
      </c>
      <c r="J90" s="1">
        <f>Vin*Table1[[#This Row],[Idc]]*Table1[[#This Row],[Time On]]</f>
        <v>2.0744639999999998E-3</v>
      </c>
      <c r="K90" s="1">
        <f>Table1[[#This Row],[Energy/Cycle]]-Table1[[#This Row],[Edc]]</f>
        <v>2.8647359999999997E-3</v>
      </c>
      <c r="L90" s="1">
        <f>2*Table1[[#This Row],[E Capacitor]]/(Vin^2-(Vin-V_ripple)^2)</f>
        <v>3.8992578477246376E-3</v>
      </c>
      <c r="M90" s="1">
        <f>Table1[[#This Row],[Energy/Cycle]]-(Table1[[#This Row],[E Capacitor]]+Table1[[#This Row],[Edc]])</f>
        <v>0</v>
      </c>
      <c r="N9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9.8414331405916684</v>
      </c>
    </row>
    <row r="91" spans="1:14" x14ac:dyDescent="0.25">
      <c r="A91">
        <v>0.42499999999999999</v>
      </c>
      <c r="B91">
        <f t="shared" si="2"/>
        <v>12.494999999999999</v>
      </c>
      <c r="C91">
        <f>(Vin-Table1[[#This Row],[Vout]])*Table1[[#This Row],[Duty]]/(Frequency*Inductance)</f>
        <v>2.0527500000000005</v>
      </c>
      <c r="D91">
        <f>Irms-Table1[[#This Row],[Ripple Current (A)]]</f>
        <v>17.94725</v>
      </c>
      <c r="E91">
        <f>Irms+Table1[[#This Row],[Ripple Current (A)]]</f>
        <v>22.05275</v>
      </c>
      <c r="F91">
        <f>Table1[[#This Row],[Vout]]*(Table1[[#This Row],[Imin]]+Table1[[#This Row],[Ripple Current (A)]])</f>
        <v>249.89999999999998</v>
      </c>
      <c r="G91" s="1">
        <f>Table1[[#This Row],[Pout]]/Frequency</f>
        <v>4.9979999999999998E-3</v>
      </c>
      <c r="H91" s="1">
        <f>Table1[[#This Row],[Duty]]/Frequency</f>
        <v>8.4999999999999999E-6</v>
      </c>
      <c r="I91" s="1">
        <f>Table1[[#This Row],[Pout]]/Vin</f>
        <v>8.5</v>
      </c>
      <c r="J91" s="1">
        <f>Vin*Table1[[#This Row],[Idc]]*Table1[[#This Row],[Time On]]</f>
        <v>2.12415E-3</v>
      </c>
      <c r="K91" s="1">
        <f>Table1[[#This Row],[Energy/Cycle]]-Table1[[#This Row],[Edc]]</f>
        <v>2.8738499999999998E-3</v>
      </c>
      <c r="L91" s="1">
        <f>2*Table1[[#This Row],[E Capacitor]]/(Vin^2-(Vin-V_ripple)^2)</f>
        <v>3.9116631220759788E-3</v>
      </c>
      <c r="M91" s="1">
        <f>Table1[[#This Row],[Energy/Cycle]]-(Table1[[#This Row],[E Capacitor]]+Table1[[#This Row],[Edc]])</f>
        <v>0</v>
      </c>
      <c r="N9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9.8566245474965974</v>
      </c>
    </row>
    <row r="92" spans="1:14" x14ac:dyDescent="0.25">
      <c r="A92">
        <v>0.43</v>
      </c>
      <c r="B92">
        <f t="shared" si="2"/>
        <v>12.641999999999999</v>
      </c>
      <c r="C92">
        <f>(Vin-Table1[[#This Row],[Vout]])*Table1[[#This Row],[Duty]]/(Frequency*Inductance)</f>
        <v>2.05884</v>
      </c>
      <c r="D92">
        <f>Irms-Table1[[#This Row],[Ripple Current (A)]]</f>
        <v>17.94116</v>
      </c>
      <c r="E92">
        <f>Irms+Table1[[#This Row],[Ripple Current (A)]]</f>
        <v>22.05884</v>
      </c>
      <c r="F92">
        <f>Table1[[#This Row],[Vout]]*(Table1[[#This Row],[Imin]]+Table1[[#This Row],[Ripple Current (A)]])</f>
        <v>252.83999999999997</v>
      </c>
      <c r="G92" s="1">
        <f>Table1[[#This Row],[Pout]]/Frequency</f>
        <v>5.0567999999999993E-3</v>
      </c>
      <c r="H92" s="1">
        <f>Table1[[#This Row],[Duty]]/Frequency</f>
        <v>8.6000000000000007E-6</v>
      </c>
      <c r="I92" s="1">
        <f>Table1[[#This Row],[Pout]]/Vin</f>
        <v>8.6</v>
      </c>
      <c r="J92" s="1">
        <f>Vin*Table1[[#This Row],[Idc]]*Table1[[#This Row],[Time On]]</f>
        <v>2.1744239999999999E-3</v>
      </c>
      <c r="K92" s="1">
        <f>Table1[[#This Row],[Energy/Cycle]]-Table1[[#This Row],[Edc]]</f>
        <v>2.8823759999999994E-3</v>
      </c>
      <c r="L92" s="1">
        <f>2*Table1[[#This Row],[E Capacitor]]/(Vin^2-(Vin-V_ripple)^2)</f>
        <v>3.9232680561465871E-3</v>
      </c>
      <c r="M92" s="1">
        <f>Table1[[#This Row],[Energy/Cycle]]-(Table1[[#This Row],[E Capacitor]]+Table1[[#This Row],[Edc]])</f>
        <v>0</v>
      </c>
      <c r="N9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9.8707869743229697</v>
      </c>
    </row>
    <row r="93" spans="1:14" x14ac:dyDescent="0.25">
      <c r="A93">
        <v>0.435</v>
      </c>
      <c r="B93">
        <f t="shared" si="2"/>
        <v>12.789</v>
      </c>
      <c r="C93">
        <f>(Vin-Table1[[#This Row],[Vout]])*Table1[[#This Row],[Duty]]/(Frequency*Inductance)</f>
        <v>2.0645099999999998</v>
      </c>
      <c r="D93">
        <f>Irms-Table1[[#This Row],[Ripple Current (A)]]</f>
        <v>17.935490000000001</v>
      </c>
      <c r="E93">
        <f>Irms+Table1[[#This Row],[Ripple Current (A)]]</f>
        <v>22.064509999999999</v>
      </c>
      <c r="F93">
        <f>Table1[[#This Row],[Vout]]*(Table1[[#This Row],[Imin]]+Table1[[#This Row],[Ripple Current (A)]])</f>
        <v>255.78</v>
      </c>
      <c r="G93" s="1">
        <f>Table1[[#This Row],[Pout]]/Frequency</f>
        <v>5.1155999999999997E-3</v>
      </c>
      <c r="H93" s="1">
        <f>Table1[[#This Row],[Duty]]/Frequency</f>
        <v>8.6999999999999997E-6</v>
      </c>
      <c r="I93" s="1">
        <f>Table1[[#This Row],[Pout]]/Vin</f>
        <v>8.7000000000000011</v>
      </c>
      <c r="J93" s="1">
        <f>Vin*Table1[[#This Row],[Idc]]*Table1[[#This Row],[Time On]]</f>
        <v>2.2252860000000004E-3</v>
      </c>
      <c r="K93" s="1">
        <f>Table1[[#This Row],[Energy/Cycle]]-Table1[[#This Row],[Edc]]</f>
        <v>2.8903139999999993E-3</v>
      </c>
      <c r="L93" s="1">
        <f>2*Table1[[#This Row],[E Capacitor]]/(Vin^2-(Vin-V_ripple)^2)</f>
        <v>3.9340726499364643E-3</v>
      </c>
      <c r="M93" s="1">
        <f>Table1[[#This Row],[Energy/Cycle]]-(Table1[[#This Row],[E Capacitor]]+Table1[[#This Row],[Edc]])</f>
        <v>0</v>
      </c>
      <c r="N9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9.8839253728812384</v>
      </c>
    </row>
    <row r="94" spans="1:14" x14ac:dyDescent="0.25">
      <c r="A94">
        <v>0.44</v>
      </c>
      <c r="B94">
        <f t="shared" si="2"/>
        <v>12.936</v>
      </c>
      <c r="C94">
        <f>(Vin-Table1[[#This Row],[Vout]])*Table1[[#This Row],[Duty]]/(Frequency*Inductance)</f>
        <v>2.06976</v>
      </c>
      <c r="D94">
        <f>Irms-Table1[[#This Row],[Ripple Current (A)]]</f>
        <v>17.930240000000001</v>
      </c>
      <c r="E94">
        <f>Irms+Table1[[#This Row],[Ripple Current (A)]]</f>
        <v>22.069759999999999</v>
      </c>
      <c r="F94">
        <f>Table1[[#This Row],[Vout]]*(Table1[[#This Row],[Imin]]+Table1[[#This Row],[Ripple Current (A)]])</f>
        <v>258.72000000000003</v>
      </c>
      <c r="G94" s="1">
        <f>Table1[[#This Row],[Pout]]/Frequency</f>
        <v>5.1744000000000009E-3</v>
      </c>
      <c r="H94" s="1">
        <f>Table1[[#This Row],[Duty]]/Frequency</f>
        <v>8.8000000000000004E-6</v>
      </c>
      <c r="I94" s="1">
        <f>Table1[[#This Row],[Pout]]/Vin</f>
        <v>8.8000000000000007</v>
      </c>
      <c r="J94" s="1">
        <f>Vin*Table1[[#This Row],[Idc]]*Table1[[#This Row],[Time On]]</f>
        <v>2.2767360000000006E-3</v>
      </c>
      <c r="K94" s="1">
        <f>Table1[[#This Row],[Energy/Cycle]]-Table1[[#This Row],[Edc]]</f>
        <v>2.8976640000000003E-3</v>
      </c>
      <c r="L94" s="1">
        <f>2*Table1[[#This Row],[E Capacitor]]/(Vin^2-(Vin-V_ripple)^2)</f>
        <v>3.9440769034456112E-3</v>
      </c>
      <c r="M94" s="1">
        <f>Table1[[#This Row],[Energy/Cycle]]-(Table1[[#This Row],[E Capacitor]]+Table1[[#This Row],[Edc]])</f>
        <v>0</v>
      </c>
      <c r="N9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9.8960443470889938</v>
      </c>
    </row>
    <row r="95" spans="1:14" x14ac:dyDescent="0.25">
      <c r="A95">
        <v>0.44500000000000001</v>
      </c>
      <c r="B95">
        <f t="shared" si="2"/>
        <v>13.083</v>
      </c>
      <c r="C95">
        <f>(Vin-Table1[[#This Row],[Vout]])*Table1[[#This Row],[Duty]]/(Frequency*Inductance)</f>
        <v>2.0745900000000002</v>
      </c>
      <c r="D95">
        <f>Irms-Table1[[#This Row],[Ripple Current (A)]]</f>
        <v>17.925409999999999</v>
      </c>
      <c r="E95">
        <f>Irms+Table1[[#This Row],[Ripple Current (A)]]</f>
        <v>22.074590000000001</v>
      </c>
      <c r="F95">
        <f>Table1[[#This Row],[Vout]]*(Table1[[#This Row],[Imin]]+Table1[[#This Row],[Ripple Current (A)]])</f>
        <v>261.66000000000003</v>
      </c>
      <c r="G95" s="1">
        <f>Table1[[#This Row],[Pout]]/Frequency</f>
        <v>5.2332000000000004E-3</v>
      </c>
      <c r="H95" s="1">
        <f>Table1[[#This Row],[Duty]]/Frequency</f>
        <v>8.8999999999999995E-6</v>
      </c>
      <c r="I95" s="1">
        <f>Table1[[#This Row],[Pout]]/Vin</f>
        <v>8.9000000000000021</v>
      </c>
      <c r="J95" s="1">
        <f>Vin*Table1[[#This Row],[Idc]]*Table1[[#This Row],[Time On]]</f>
        <v>2.328774E-3</v>
      </c>
      <c r="K95" s="1">
        <f>Table1[[#This Row],[Energy/Cycle]]-Table1[[#This Row],[Edc]]</f>
        <v>2.9044260000000003E-3</v>
      </c>
      <c r="L95" s="1">
        <f>2*Table1[[#This Row],[E Capacitor]]/(Vin^2-(Vin-V_ripple)^2)</f>
        <v>3.9532808166740253E-3</v>
      </c>
      <c r="M95" s="1">
        <f>Table1[[#This Row],[Energy/Cycle]]-(Table1[[#This Row],[E Capacitor]]+Table1[[#This Row],[Edc]])</f>
        <v>0</v>
      </c>
      <c r="N9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9.9071481595814692</v>
      </c>
    </row>
    <row r="96" spans="1:14" x14ac:dyDescent="0.25">
      <c r="A96">
        <v>0.45</v>
      </c>
      <c r="B96">
        <f t="shared" si="2"/>
        <v>13.23</v>
      </c>
      <c r="C96">
        <f>(Vin-Table1[[#This Row],[Vout]])*Table1[[#This Row],[Duty]]/(Frequency*Inductance)</f>
        <v>2.0790000000000002</v>
      </c>
      <c r="D96">
        <f>Irms-Table1[[#This Row],[Ripple Current (A)]]</f>
        <v>17.920999999999999</v>
      </c>
      <c r="E96">
        <f>Irms+Table1[[#This Row],[Ripple Current (A)]]</f>
        <v>22.079000000000001</v>
      </c>
      <c r="F96">
        <f>Table1[[#This Row],[Vout]]*(Table1[[#This Row],[Imin]]+Table1[[#This Row],[Ripple Current (A)]])</f>
        <v>264.60000000000002</v>
      </c>
      <c r="G96" s="1">
        <f>Table1[[#This Row],[Pout]]/Frequency</f>
        <v>5.2920000000000007E-3</v>
      </c>
      <c r="H96" s="1">
        <f>Table1[[#This Row],[Duty]]/Frequency</f>
        <v>9.0000000000000002E-6</v>
      </c>
      <c r="I96" s="1">
        <f>Table1[[#This Row],[Pout]]/Vin</f>
        <v>9.0000000000000018</v>
      </c>
      <c r="J96" s="1">
        <f>Vin*Table1[[#This Row],[Idc]]*Table1[[#This Row],[Time On]]</f>
        <v>2.3814000000000001E-3</v>
      </c>
      <c r="K96" s="1">
        <f>Table1[[#This Row],[Energy/Cycle]]-Table1[[#This Row],[Edc]]</f>
        <v>2.9106000000000006E-3</v>
      </c>
      <c r="L96" s="1">
        <f>2*Table1[[#This Row],[E Capacitor]]/(Vin^2-(Vin-V_ripple)^2)</f>
        <v>3.9616843896217082E-3</v>
      </c>
      <c r="M96" s="1">
        <f>Table1[[#This Row],[Energy/Cycle]]-(Table1[[#This Row],[E Capacitor]]+Table1[[#This Row],[Edc]])</f>
        <v>0</v>
      </c>
      <c r="N9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9.9172407377253879</v>
      </c>
    </row>
    <row r="97" spans="1:14" x14ac:dyDescent="0.25">
      <c r="A97">
        <v>0.45500000000000002</v>
      </c>
      <c r="B97">
        <f t="shared" si="2"/>
        <v>13.377000000000001</v>
      </c>
      <c r="C97">
        <f>(Vin-Table1[[#This Row],[Vout]])*Table1[[#This Row],[Duty]]/(Frequency*Inductance)</f>
        <v>2.0829899999999997</v>
      </c>
      <c r="D97">
        <f>Irms-Table1[[#This Row],[Ripple Current (A)]]</f>
        <v>17.917010000000001</v>
      </c>
      <c r="E97">
        <f>Irms+Table1[[#This Row],[Ripple Current (A)]]</f>
        <v>22.082989999999999</v>
      </c>
      <c r="F97">
        <f>Table1[[#This Row],[Vout]]*(Table1[[#This Row],[Imin]]+Table1[[#This Row],[Ripple Current (A)]])</f>
        <v>267.54000000000002</v>
      </c>
      <c r="G97" s="1">
        <f>Table1[[#This Row],[Pout]]/Frequency</f>
        <v>5.3508000000000002E-3</v>
      </c>
      <c r="H97" s="1">
        <f>Table1[[#This Row],[Duty]]/Frequency</f>
        <v>9.100000000000001E-6</v>
      </c>
      <c r="I97" s="1">
        <f>Table1[[#This Row],[Pout]]/Vin</f>
        <v>9.1000000000000014</v>
      </c>
      <c r="J97" s="1">
        <f>Vin*Table1[[#This Row],[Idc]]*Table1[[#This Row],[Time On]]</f>
        <v>2.4346140000000003E-3</v>
      </c>
      <c r="K97" s="1">
        <f>Table1[[#This Row],[Energy/Cycle]]-Table1[[#This Row],[Edc]]</f>
        <v>2.9161859999999999E-3</v>
      </c>
      <c r="L97" s="1">
        <f>2*Table1[[#This Row],[E Capacitor]]/(Vin^2-(Vin-V_ripple)^2)</f>
        <v>3.9692876222886583E-3</v>
      </c>
      <c r="M97" s="1">
        <f>Table1[[#This Row],[Energy/Cycle]]-(Table1[[#This Row],[E Capacitor]]+Table1[[#This Row],[Edc]])</f>
        <v>0</v>
      </c>
      <c r="N9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9.9263256790592713</v>
      </c>
    </row>
    <row r="98" spans="1:14" x14ac:dyDescent="0.25">
      <c r="A98">
        <v>0.46</v>
      </c>
      <c r="B98">
        <f t="shared" si="2"/>
        <v>13.523999999999999</v>
      </c>
      <c r="C98">
        <f>(Vin-Table1[[#This Row],[Vout]])*Table1[[#This Row],[Duty]]/(Frequency*Inductance)</f>
        <v>2.08656</v>
      </c>
      <c r="D98">
        <f>Irms-Table1[[#This Row],[Ripple Current (A)]]</f>
        <v>17.913440000000001</v>
      </c>
      <c r="E98">
        <f>Irms+Table1[[#This Row],[Ripple Current (A)]]</f>
        <v>22.086559999999999</v>
      </c>
      <c r="F98">
        <f>Table1[[#This Row],[Vout]]*(Table1[[#This Row],[Imin]]+Table1[[#This Row],[Ripple Current (A)]])</f>
        <v>270.47999999999996</v>
      </c>
      <c r="G98" s="1">
        <f>Table1[[#This Row],[Pout]]/Frequency</f>
        <v>5.4095999999999997E-3</v>
      </c>
      <c r="H98" s="1">
        <f>Table1[[#This Row],[Duty]]/Frequency</f>
        <v>9.2E-6</v>
      </c>
      <c r="I98" s="1">
        <f>Table1[[#This Row],[Pout]]/Vin</f>
        <v>9.1999999999999993</v>
      </c>
      <c r="J98" s="1">
        <f>Vin*Table1[[#This Row],[Idc]]*Table1[[#This Row],[Time On]]</f>
        <v>2.4884159999999998E-3</v>
      </c>
      <c r="K98" s="1">
        <f>Table1[[#This Row],[Energy/Cycle]]-Table1[[#This Row],[Edc]]</f>
        <v>2.9211839999999998E-3</v>
      </c>
      <c r="L98" s="1">
        <f>2*Table1[[#This Row],[E Capacitor]]/(Vin^2-(Vin-V_ripple)^2)</f>
        <v>3.9760905146748772E-3</v>
      </c>
      <c r="M98" s="1">
        <f>Table1[[#This Row],[Energy/Cycle]]-(Table1[[#This Row],[E Capacitor]]+Table1[[#This Row],[Edc]])</f>
        <v>0</v>
      </c>
      <c r="N9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9.934406256180992</v>
      </c>
    </row>
    <row r="99" spans="1:14" x14ac:dyDescent="0.25">
      <c r="A99">
        <v>0.46500000000000002</v>
      </c>
      <c r="B99">
        <f t="shared" si="2"/>
        <v>13.670999999999999</v>
      </c>
      <c r="C99">
        <f>(Vin-Table1[[#This Row],[Vout]])*Table1[[#This Row],[Duty]]/(Frequency*Inductance)</f>
        <v>2.0897100000000002</v>
      </c>
      <c r="D99">
        <f>Irms-Table1[[#This Row],[Ripple Current (A)]]</f>
        <v>17.91029</v>
      </c>
      <c r="E99">
        <f>Irms+Table1[[#This Row],[Ripple Current (A)]]</f>
        <v>22.08971</v>
      </c>
      <c r="F99">
        <f>Table1[[#This Row],[Vout]]*(Table1[[#This Row],[Imin]]+Table1[[#This Row],[Ripple Current (A)]])</f>
        <v>273.41999999999996</v>
      </c>
      <c r="G99" s="1">
        <f>Table1[[#This Row],[Pout]]/Frequency</f>
        <v>5.4683999999999991E-3</v>
      </c>
      <c r="H99" s="1">
        <f>Table1[[#This Row],[Duty]]/Frequency</f>
        <v>9.3000000000000007E-6</v>
      </c>
      <c r="I99" s="1">
        <f>Table1[[#This Row],[Pout]]/Vin</f>
        <v>9.2999999999999989</v>
      </c>
      <c r="J99" s="1">
        <f>Vin*Table1[[#This Row],[Idc]]*Table1[[#This Row],[Time On]]</f>
        <v>2.5428059999999999E-3</v>
      </c>
      <c r="K99" s="1">
        <f>Table1[[#This Row],[Energy/Cycle]]-Table1[[#This Row],[Edc]]</f>
        <v>2.9255939999999992E-3</v>
      </c>
      <c r="L99" s="1">
        <f>2*Table1[[#This Row],[E Capacitor]]/(Vin^2-(Vin-V_ripple)^2)</f>
        <v>3.9820930667803633E-3</v>
      </c>
      <c r="M99" s="1">
        <f>Table1[[#This Row],[Energy/Cycle]]-(Table1[[#This Row],[E Capacitor]]+Table1[[#This Row],[Edc]])</f>
        <v>0</v>
      </c>
      <c r="N9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9.9414854211010386</v>
      </c>
    </row>
    <row r="100" spans="1:14" x14ac:dyDescent="0.25">
      <c r="A100">
        <v>0.47</v>
      </c>
      <c r="B100">
        <f t="shared" si="2"/>
        <v>13.817999999999998</v>
      </c>
      <c r="C100">
        <f>(Vin-Table1[[#This Row],[Vout]])*Table1[[#This Row],[Duty]]/(Frequency*Inductance)</f>
        <v>2.0924400000000003</v>
      </c>
      <c r="D100">
        <f>Irms-Table1[[#This Row],[Ripple Current (A)]]</f>
        <v>17.90756</v>
      </c>
      <c r="E100">
        <f>Irms+Table1[[#This Row],[Ripple Current (A)]]</f>
        <v>22.09244</v>
      </c>
      <c r="F100">
        <f>Table1[[#This Row],[Vout]]*(Table1[[#This Row],[Imin]]+Table1[[#This Row],[Ripple Current (A)]])</f>
        <v>276.35999999999996</v>
      </c>
      <c r="G100" s="1">
        <f>Table1[[#This Row],[Pout]]/Frequency</f>
        <v>5.5271999999999995E-3</v>
      </c>
      <c r="H100" s="1">
        <f>Table1[[#This Row],[Duty]]/Frequency</f>
        <v>9.3999999999999998E-6</v>
      </c>
      <c r="I100" s="1">
        <f>Table1[[#This Row],[Pout]]/Vin</f>
        <v>9.3999999999999986</v>
      </c>
      <c r="J100" s="1">
        <f>Vin*Table1[[#This Row],[Idc]]*Table1[[#This Row],[Time On]]</f>
        <v>2.5977839999999997E-3</v>
      </c>
      <c r="K100" s="1">
        <f>Table1[[#This Row],[Energy/Cycle]]-Table1[[#This Row],[Edc]]</f>
        <v>2.9294159999999998E-3</v>
      </c>
      <c r="L100" s="1">
        <f>2*Table1[[#This Row],[E Capacitor]]/(Vin^2-(Vin-V_ripple)^2)</f>
        <v>3.98729527860512E-3</v>
      </c>
      <c r="M100" s="1">
        <f>Table1[[#This Row],[Energy/Cycle]]-(Table1[[#This Row],[E Capacitor]]+Table1[[#This Row],[Edc]])</f>
        <v>0</v>
      </c>
      <c r="N10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9.9475658090779167</v>
      </c>
    </row>
    <row r="101" spans="1:14" x14ac:dyDescent="0.25">
      <c r="A101">
        <v>0.47499999999999998</v>
      </c>
      <c r="B101">
        <f t="shared" si="2"/>
        <v>13.964999999999998</v>
      </c>
      <c r="C101">
        <f>(Vin-Table1[[#This Row],[Vout]])*Table1[[#This Row],[Duty]]/(Frequency*Inductance)</f>
        <v>2.0947500000000003</v>
      </c>
      <c r="D101">
        <f>Irms-Table1[[#This Row],[Ripple Current (A)]]</f>
        <v>17.905249999999999</v>
      </c>
      <c r="E101">
        <f>Irms+Table1[[#This Row],[Ripple Current (A)]]</f>
        <v>22.094750000000001</v>
      </c>
      <c r="F101">
        <f>Table1[[#This Row],[Vout]]*(Table1[[#This Row],[Imin]]+Table1[[#This Row],[Ripple Current (A)]])</f>
        <v>279.29999999999995</v>
      </c>
      <c r="G101" s="1">
        <f>Table1[[#This Row],[Pout]]/Frequency</f>
        <v>5.585999999999999E-3</v>
      </c>
      <c r="H101" s="1">
        <f>Table1[[#This Row],[Duty]]/Frequency</f>
        <v>9.4999999999999988E-6</v>
      </c>
      <c r="I101" s="1">
        <f>Table1[[#This Row],[Pout]]/Vin</f>
        <v>9.4999999999999982</v>
      </c>
      <c r="J101" s="1">
        <f>Vin*Table1[[#This Row],[Idc]]*Table1[[#This Row],[Time On]]</f>
        <v>2.6533499999999992E-3</v>
      </c>
      <c r="K101" s="1">
        <f>Table1[[#This Row],[Energy/Cycle]]-Table1[[#This Row],[Edc]]</f>
        <v>2.9326499999999998E-3</v>
      </c>
      <c r="L101" s="1">
        <f>2*Table1[[#This Row],[E Capacitor]]/(Vin^2-(Vin-V_ripple)^2)</f>
        <v>3.9916971501491446E-3</v>
      </c>
      <c r="M101" s="1">
        <f>Table1[[#This Row],[Energy/Cycle]]-(Table1[[#This Row],[E Capacitor]]+Table1[[#This Row],[Edc]])</f>
        <v>0</v>
      </c>
      <c r="N10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9.9526497419500046</v>
      </c>
    </row>
    <row r="102" spans="1:14" x14ac:dyDescent="0.25">
      <c r="A102">
        <v>0.48</v>
      </c>
      <c r="B102">
        <f t="shared" si="2"/>
        <v>14.111999999999998</v>
      </c>
      <c r="C102">
        <f>(Vin-Table1[[#This Row],[Vout]])*Table1[[#This Row],[Duty]]/(Frequency*Inductance)</f>
        <v>2.0966400000000003</v>
      </c>
      <c r="D102">
        <f>Irms-Table1[[#This Row],[Ripple Current (A)]]</f>
        <v>17.903359999999999</v>
      </c>
      <c r="E102">
        <f>Irms+Table1[[#This Row],[Ripple Current (A)]]</f>
        <v>22.096640000000001</v>
      </c>
      <c r="F102">
        <f>Table1[[#This Row],[Vout]]*(Table1[[#This Row],[Imin]]+Table1[[#This Row],[Ripple Current (A)]])</f>
        <v>282.23999999999995</v>
      </c>
      <c r="G102" s="1">
        <f>Table1[[#This Row],[Pout]]/Frequency</f>
        <v>5.6447999999999993E-3</v>
      </c>
      <c r="H102" s="1">
        <f>Table1[[#This Row],[Duty]]/Frequency</f>
        <v>9.5999999999999996E-6</v>
      </c>
      <c r="I102" s="1">
        <f>Table1[[#This Row],[Pout]]/Vin</f>
        <v>9.6</v>
      </c>
      <c r="J102" s="1">
        <f>Vin*Table1[[#This Row],[Idc]]*Table1[[#This Row],[Time On]]</f>
        <v>2.7095039999999993E-3</v>
      </c>
      <c r="K102" s="1">
        <f>Table1[[#This Row],[Energy/Cycle]]-Table1[[#This Row],[Edc]]</f>
        <v>2.935296E-3</v>
      </c>
      <c r="L102" s="1">
        <f>2*Table1[[#This Row],[E Capacitor]]/(Vin^2-(Vin-V_ripple)^2)</f>
        <v>3.9952986814124373E-3</v>
      </c>
      <c r="M102" s="1">
        <f>Table1[[#This Row],[Energy/Cycle]]-(Table1[[#This Row],[E Capacitor]]+Table1[[#This Row],[Edc]])</f>
        <v>0</v>
      </c>
      <c r="N10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9.9567392309763747</v>
      </c>
    </row>
    <row r="103" spans="1:14" x14ac:dyDescent="0.25">
      <c r="A103">
        <v>0.48499999999999999</v>
      </c>
      <c r="B103">
        <f t="shared" ref="B103:B134" si="3">A103*Vin</f>
        <v>14.258999999999999</v>
      </c>
      <c r="C103">
        <f>(Vin-Table1[[#This Row],[Vout]])*Table1[[#This Row],[Duty]]/(Frequency*Inductance)</f>
        <v>2.0981100000000001</v>
      </c>
      <c r="D103">
        <f>Irms-Table1[[#This Row],[Ripple Current (A)]]</f>
        <v>17.901890000000002</v>
      </c>
      <c r="E103">
        <f>Irms+Table1[[#This Row],[Ripple Current (A)]]</f>
        <v>22.098109999999998</v>
      </c>
      <c r="F103">
        <f>Table1[[#This Row],[Vout]]*(Table1[[#This Row],[Imin]]+Table1[[#This Row],[Ripple Current (A)]])</f>
        <v>285.17999999999995</v>
      </c>
      <c r="G103" s="1">
        <f>Table1[[#This Row],[Pout]]/Frequency</f>
        <v>5.7035999999999988E-3</v>
      </c>
      <c r="H103" s="1">
        <f>Table1[[#This Row],[Duty]]/Frequency</f>
        <v>9.7000000000000003E-6</v>
      </c>
      <c r="I103" s="1">
        <f>Table1[[#This Row],[Pout]]/Vin</f>
        <v>9.6999999999999993</v>
      </c>
      <c r="J103" s="1">
        <f>Vin*Table1[[#This Row],[Idc]]*Table1[[#This Row],[Time On]]</f>
        <v>2.7662459999999995E-3</v>
      </c>
      <c r="K103" s="1">
        <f>Table1[[#This Row],[Energy/Cycle]]-Table1[[#This Row],[Edc]]</f>
        <v>2.9373539999999992E-3</v>
      </c>
      <c r="L103" s="1">
        <f>2*Table1[[#This Row],[E Capacitor]]/(Vin^2-(Vin-V_ripple)^2)</f>
        <v>3.9980998723949971E-3</v>
      </c>
      <c r="M103" s="1">
        <f>Table1[[#This Row],[Energy/Cycle]]-(Table1[[#This Row],[E Capacitor]]+Table1[[#This Row],[Edc]])</f>
        <v>0</v>
      </c>
      <c r="N10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9.9598359791971731</v>
      </c>
    </row>
    <row r="104" spans="1:14" x14ac:dyDescent="0.25">
      <c r="A104">
        <v>0.49</v>
      </c>
      <c r="B104">
        <f t="shared" si="3"/>
        <v>14.405999999999999</v>
      </c>
      <c r="C104">
        <f>(Vin-Table1[[#This Row],[Vout]])*Table1[[#This Row],[Duty]]/(Frequency*Inductance)</f>
        <v>2.0991600000000004</v>
      </c>
      <c r="D104">
        <f>Irms-Table1[[#This Row],[Ripple Current (A)]]</f>
        <v>17.900839999999999</v>
      </c>
      <c r="E104">
        <f>Irms+Table1[[#This Row],[Ripple Current (A)]]</f>
        <v>22.099160000000001</v>
      </c>
      <c r="F104">
        <f>Table1[[#This Row],[Vout]]*(Table1[[#This Row],[Imin]]+Table1[[#This Row],[Ripple Current (A)]])</f>
        <v>288.12</v>
      </c>
      <c r="G104" s="1">
        <f>Table1[[#This Row],[Pout]]/Frequency</f>
        <v>5.7624E-3</v>
      </c>
      <c r="H104" s="1">
        <f>Table1[[#This Row],[Duty]]/Frequency</f>
        <v>9.7999999999999993E-6</v>
      </c>
      <c r="I104" s="1">
        <f>Table1[[#This Row],[Pout]]/Vin</f>
        <v>9.8000000000000007</v>
      </c>
      <c r="J104" s="1">
        <f>Vin*Table1[[#This Row],[Idc]]*Table1[[#This Row],[Time On]]</f>
        <v>2.823576E-3</v>
      </c>
      <c r="K104" s="1">
        <f>Table1[[#This Row],[Energy/Cycle]]-Table1[[#This Row],[Edc]]</f>
        <v>2.938824E-3</v>
      </c>
      <c r="L104" s="1">
        <f>2*Table1[[#This Row],[E Capacitor]]/(Vin^2-(Vin-V_ripple)^2)</f>
        <v>4.0001007230968267E-3</v>
      </c>
      <c r="M104" s="1">
        <f>Table1[[#This Row],[Energy/Cycle]]-(Table1[[#This Row],[E Capacitor]]+Table1[[#This Row],[Edc]])</f>
        <v>0</v>
      </c>
      <c r="N10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9.9619413833224293</v>
      </c>
    </row>
    <row r="105" spans="1:14" x14ac:dyDescent="0.25">
      <c r="A105">
        <v>0.495</v>
      </c>
      <c r="B105">
        <f t="shared" si="3"/>
        <v>14.552999999999999</v>
      </c>
      <c r="C105">
        <f>(Vin-Table1[[#This Row],[Vout]])*Table1[[#This Row],[Duty]]/(Frequency*Inductance)</f>
        <v>2.09979</v>
      </c>
      <c r="D105">
        <f>Irms-Table1[[#This Row],[Ripple Current (A)]]</f>
        <v>17.900210000000001</v>
      </c>
      <c r="E105">
        <f>Irms+Table1[[#This Row],[Ripple Current (A)]]</f>
        <v>22.099789999999999</v>
      </c>
      <c r="F105">
        <f>Table1[[#This Row],[Vout]]*(Table1[[#This Row],[Imin]]+Table1[[#This Row],[Ripple Current (A)]])</f>
        <v>291.06</v>
      </c>
      <c r="G105" s="1">
        <f>Table1[[#This Row],[Pout]]/Frequency</f>
        <v>5.8212000000000003E-3</v>
      </c>
      <c r="H105" s="1">
        <f>Table1[[#This Row],[Duty]]/Frequency</f>
        <v>9.9000000000000001E-6</v>
      </c>
      <c r="I105" s="1">
        <f>Table1[[#This Row],[Pout]]/Vin</f>
        <v>9.9</v>
      </c>
      <c r="J105" s="1">
        <f>Vin*Table1[[#This Row],[Idc]]*Table1[[#This Row],[Time On]]</f>
        <v>2.8814940000000001E-3</v>
      </c>
      <c r="K105" s="1">
        <f>Table1[[#This Row],[Energy/Cycle]]-Table1[[#This Row],[Edc]]</f>
        <v>2.9397060000000003E-3</v>
      </c>
      <c r="L105" s="1">
        <f>2*Table1[[#This Row],[E Capacitor]]/(Vin^2-(Vin-V_ripple)^2)</f>
        <v>4.0013012335179251E-3</v>
      </c>
      <c r="M105" s="1">
        <f>Table1[[#This Row],[Energy/Cycle]]-(Table1[[#This Row],[E Capacitor]]+Table1[[#This Row],[Edc]])</f>
        <v>0</v>
      </c>
      <c r="N10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9.9630565351564435</v>
      </c>
    </row>
    <row r="106" spans="1:14" x14ac:dyDescent="0.25">
      <c r="A106">
        <v>0.5</v>
      </c>
      <c r="B106">
        <f t="shared" si="3"/>
        <v>14.7</v>
      </c>
      <c r="C106">
        <f>(Vin-Table1[[#This Row],[Vout]])*Table1[[#This Row],[Duty]]/(Frequency*Inductance)</f>
        <v>2.1</v>
      </c>
      <c r="D106">
        <f>Irms-Table1[[#This Row],[Ripple Current (A)]]</f>
        <v>17.899999999999999</v>
      </c>
      <c r="E106">
        <f>Irms+Table1[[#This Row],[Ripple Current (A)]]</f>
        <v>22.1</v>
      </c>
      <c r="F106">
        <f>Table1[[#This Row],[Vout]]*(Table1[[#This Row],[Imin]]+Table1[[#This Row],[Ripple Current (A)]])</f>
        <v>294</v>
      </c>
      <c r="G106" s="1">
        <f>Table1[[#This Row],[Pout]]/Frequency</f>
        <v>5.8799999999999998E-3</v>
      </c>
      <c r="H106" s="1">
        <f>Table1[[#This Row],[Duty]]/Frequency</f>
        <v>1.0000000000000001E-5</v>
      </c>
      <c r="I106" s="1">
        <f>Table1[[#This Row],[Pout]]/Vin</f>
        <v>10</v>
      </c>
      <c r="J106" s="1">
        <f>Vin*Table1[[#This Row],[Idc]]*Table1[[#This Row],[Time On]]</f>
        <v>2.9400000000000003E-3</v>
      </c>
      <c r="K106" s="1">
        <f>Table1[[#This Row],[Energy/Cycle]]-Table1[[#This Row],[Edc]]</f>
        <v>2.9399999999999995E-3</v>
      </c>
      <c r="L106" s="1">
        <f>2*Table1[[#This Row],[E Capacitor]]/(Vin^2-(Vin-V_ripple)^2)</f>
        <v>4.0017014036582898E-3</v>
      </c>
      <c r="M106" s="1">
        <f>Table1[[#This Row],[Energy/Cycle]]-(Table1[[#This Row],[E Capacitor]]+Table1[[#This Row],[Edc]])</f>
        <v>0</v>
      </c>
      <c r="N10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9.9631822225632298</v>
      </c>
    </row>
    <row r="107" spans="1:14" x14ac:dyDescent="0.25">
      <c r="A107">
        <v>0.505</v>
      </c>
      <c r="B107">
        <f t="shared" si="3"/>
        <v>14.847</v>
      </c>
      <c r="C107">
        <f>(Vin-Table1[[#This Row],[Vout]])*Table1[[#This Row],[Duty]]/(Frequency*Inductance)</f>
        <v>2.09979</v>
      </c>
      <c r="D107">
        <f>Irms-Table1[[#This Row],[Ripple Current (A)]]</f>
        <v>17.900210000000001</v>
      </c>
      <c r="E107">
        <f>Irms+Table1[[#This Row],[Ripple Current (A)]]</f>
        <v>22.099789999999999</v>
      </c>
      <c r="F107">
        <f>Table1[[#This Row],[Vout]]*(Table1[[#This Row],[Imin]]+Table1[[#This Row],[Ripple Current (A)]])</f>
        <v>296.94</v>
      </c>
      <c r="G107" s="1">
        <f>Table1[[#This Row],[Pout]]/Frequency</f>
        <v>5.9388000000000002E-3</v>
      </c>
      <c r="H107" s="1">
        <f>Table1[[#This Row],[Duty]]/Frequency</f>
        <v>1.01E-5</v>
      </c>
      <c r="I107" s="1">
        <f>Table1[[#This Row],[Pout]]/Vin</f>
        <v>10.1</v>
      </c>
      <c r="J107" s="1">
        <f>Vin*Table1[[#This Row],[Idc]]*Table1[[#This Row],[Time On]]</f>
        <v>2.9990939999999999E-3</v>
      </c>
      <c r="K107" s="1">
        <f>Table1[[#This Row],[Energy/Cycle]]-Table1[[#This Row],[Edc]]</f>
        <v>2.9397060000000003E-3</v>
      </c>
      <c r="L107" s="1">
        <f>2*Table1[[#This Row],[E Capacitor]]/(Vin^2-(Vin-V_ripple)^2)</f>
        <v>4.0013012335179251E-3</v>
      </c>
      <c r="M107" s="1">
        <f>Table1[[#This Row],[Energy/Cycle]]-(Table1[[#This Row],[E Capacitor]]+Table1[[#This Row],[Edc]])</f>
        <v>0</v>
      </c>
      <c r="N10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9.9623189299769219</v>
      </c>
    </row>
    <row r="108" spans="1:14" x14ac:dyDescent="0.25">
      <c r="A108">
        <v>0.51</v>
      </c>
      <c r="B108">
        <f t="shared" si="3"/>
        <v>14.994</v>
      </c>
      <c r="C108">
        <f>(Vin-Table1[[#This Row],[Vout]])*Table1[[#This Row],[Duty]]/(Frequency*Inductance)</f>
        <v>2.0991600000000004</v>
      </c>
      <c r="D108">
        <f>Irms-Table1[[#This Row],[Ripple Current (A)]]</f>
        <v>17.900839999999999</v>
      </c>
      <c r="E108">
        <f>Irms+Table1[[#This Row],[Ripple Current (A)]]</f>
        <v>22.099160000000001</v>
      </c>
      <c r="F108">
        <f>Table1[[#This Row],[Vout]]*(Table1[[#This Row],[Imin]]+Table1[[#This Row],[Ripple Current (A)]])</f>
        <v>299.88</v>
      </c>
      <c r="G108" s="1">
        <f>Table1[[#This Row],[Pout]]/Frequency</f>
        <v>5.9975999999999996E-3</v>
      </c>
      <c r="H108" s="1">
        <f>Table1[[#This Row],[Duty]]/Frequency</f>
        <v>1.0200000000000001E-5</v>
      </c>
      <c r="I108" s="1">
        <f>Table1[[#This Row],[Pout]]/Vin</f>
        <v>10.200000000000001</v>
      </c>
      <c r="J108" s="1">
        <f>Vin*Table1[[#This Row],[Idc]]*Table1[[#This Row],[Time On]]</f>
        <v>3.058776E-3</v>
      </c>
      <c r="K108" s="1">
        <f>Table1[[#This Row],[Energy/Cycle]]-Table1[[#This Row],[Edc]]</f>
        <v>2.9388239999999996E-3</v>
      </c>
      <c r="L108" s="1">
        <f>2*Table1[[#This Row],[E Capacitor]]/(Vin^2-(Vin-V_ripple)^2)</f>
        <v>4.0001007230968267E-3</v>
      </c>
      <c r="M108" s="1">
        <f>Table1[[#This Row],[Energy/Cycle]]-(Table1[[#This Row],[E Capacitor]]+Table1[[#This Row],[Edc]])</f>
        <v>0</v>
      </c>
      <c r="N10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9.9604668384593289</v>
      </c>
    </row>
    <row r="109" spans="1:14" x14ac:dyDescent="0.25">
      <c r="A109">
        <v>0.51500000000000001</v>
      </c>
      <c r="B109">
        <f t="shared" si="3"/>
        <v>15.141</v>
      </c>
      <c r="C109">
        <f>(Vin-Table1[[#This Row],[Vout]])*Table1[[#This Row],[Duty]]/(Frequency*Inductance)</f>
        <v>2.0981100000000001</v>
      </c>
      <c r="D109">
        <f>Irms-Table1[[#This Row],[Ripple Current (A)]]</f>
        <v>17.901890000000002</v>
      </c>
      <c r="E109">
        <f>Irms+Table1[[#This Row],[Ripple Current (A)]]</f>
        <v>22.098109999999998</v>
      </c>
      <c r="F109">
        <f>Table1[[#This Row],[Vout]]*(Table1[[#This Row],[Imin]]+Table1[[#This Row],[Ripple Current (A)]])</f>
        <v>302.82</v>
      </c>
      <c r="G109" s="1">
        <f>Table1[[#This Row],[Pout]]/Frequency</f>
        <v>6.0564E-3</v>
      </c>
      <c r="H109" s="1">
        <f>Table1[[#This Row],[Duty]]/Frequency</f>
        <v>1.03E-5</v>
      </c>
      <c r="I109" s="1">
        <f>Table1[[#This Row],[Pout]]/Vin</f>
        <v>10.3</v>
      </c>
      <c r="J109" s="1">
        <f>Vin*Table1[[#This Row],[Idc]]*Table1[[#This Row],[Time On]]</f>
        <v>3.1190459999999999E-3</v>
      </c>
      <c r="K109" s="1">
        <f>Table1[[#This Row],[Energy/Cycle]]-Table1[[#This Row],[Edc]]</f>
        <v>2.9373540000000001E-3</v>
      </c>
      <c r="L109" s="1">
        <f>2*Table1[[#This Row],[E Capacitor]]/(Vin^2-(Vin-V_ripple)^2)</f>
        <v>3.998099872394998E-3</v>
      </c>
      <c r="M109" s="1">
        <f>Table1[[#This Row],[Energy/Cycle]]-(Table1[[#This Row],[E Capacitor]]+Table1[[#This Row],[Edc]])</f>
        <v>0</v>
      </c>
      <c r="N10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9.9576258253054242</v>
      </c>
    </row>
    <row r="110" spans="1:14" x14ac:dyDescent="0.25">
      <c r="A110">
        <v>0.52</v>
      </c>
      <c r="B110">
        <f t="shared" si="3"/>
        <v>15.288</v>
      </c>
      <c r="C110">
        <f>(Vin-Table1[[#This Row],[Vout]])*Table1[[#This Row],[Duty]]/(Frequency*Inductance)</f>
        <v>2.0966399999999998</v>
      </c>
      <c r="D110">
        <f>Irms-Table1[[#This Row],[Ripple Current (A)]]</f>
        <v>17.903359999999999</v>
      </c>
      <c r="E110">
        <f>Irms+Table1[[#This Row],[Ripple Current (A)]]</f>
        <v>22.096640000000001</v>
      </c>
      <c r="F110">
        <f>Table1[[#This Row],[Vout]]*(Table1[[#This Row],[Imin]]+Table1[[#This Row],[Ripple Current (A)]])</f>
        <v>305.76</v>
      </c>
      <c r="G110" s="1">
        <f>Table1[[#This Row],[Pout]]/Frequency</f>
        <v>6.1151999999999995E-3</v>
      </c>
      <c r="H110" s="1">
        <f>Table1[[#This Row],[Duty]]/Frequency</f>
        <v>1.04E-5</v>
      </c>
      <c r="I110" s="1">
        <f>Table1[[#This Row],[Pout]]/Vin</f>
        <v>10.4</v>
      </c>
      <c r="J110" s="1">
        <f>Vin*Table1[[#This Row],[Idc]]*Table1[[#This Row],[Time On]]</f>
        <v>3.1799039999999999E-3</v>
      </c>
      <c r="K110" s="1">
        <f>Table1[[#This Row],[Energy/Cycle]]-Table1[[#This Row],[Edc]]</f>
        <v>2.9352959999999996E-3</v>
      </c>
      <c r="L110" s="1">
        <f>2*Table1[[#This Row],[E Capacitor]]/(Vin^2-(Vin-V_ripple)^2)</f>
        <v>3.9952986814124365E-3</v>
      </c>
      <c r="M110" s="1">
        <f>Table1[[#This Row],[Energy/Cycle]]-(Table1[[#This Row],[E Capacitor]]+Table1[[#This Row],[Edc]])</f>
        <v>0</v>
      </c>
      <c r="N11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9.9537954631957355</v>
      </c>
    </row>
    <row r="111" spans="1:14" x14ac:dyDescent="0.25">
      <c r="A111">
        <v>0.52500000000000002</v>
      </c>
      <c r="B111">
        <f t="shared" si="3"/>
        <v>15.435</v>
      </c>
      <c r="C111">
        <f>(Vin-Table1[[#This Row],[Vout]])*Table1[[#This Row],[Duty]]/(Frequency*Inductance)</f>
        <v>2.0947499999999999</v>
      </c>
      <c r="D111">
        <f>Irms-Table1[[#This Row],[Ripple Current (A)]]</f>
        <v>17.905249999999999</v>
      </c>
      <c r="E111">
        <f>Irms+Table1[[#This Row],[Ripple Current (A)]]</f>
        <v>22.094750000000001</v>
      </c>
      <c r="F111">
        <f>Table1[[#This Row],[Vout]]*(Table1[[#This Row],[Imin]]+Table1[[#This Row],[Ripple Current (A)]])</f>
        <v>308.7</v>
      </c>
      <c r="G111" s="1">
        <f>Table1[[#This Row],[Pout]]/Frequency</f>
        <v>6.1739999999999998E-3</v>
      </c>
      <c r="H111" s="1">
        <f>Table1[[#This Row],[Duty]]/Frequency</f>
        <v>1.0500000000000001E-5</v>
      </c>
      <c r="I111" s="1">
        <f>Table1[[#This Row],[Pout]]/Vin</f>
        <v>10.5</v>
      </c>
      <c r="J111" s="1">
        <f>Vin*Table1[[#This Row],[Idc]]*Table1[[#This Row],[Time On]]</f>
        <v>3.24135E-3</v>
      </c>
      <c r="K111" s="1">
        <f>Table1[[#This Row],[Energy/Cycle]]-Table1[[#This Row],[Edc]]</f>
        <v>2.9326499999999998E-3</v>
      </c>
      <c r="L111" s="1">
        <f>2*Table1[[#This Row],[E Capacitor]]/(Vin^2-(Vin-V_ripple)^2)</f>
        <v>3.9916971501491446E-3</v>
      </c>
      <c r="M111" s="1">
        <f>Table1[[#This Row],[Energy/Cycle]]-(Table1[[#This Row],[E Capacitor]]+Table1[[#This Row],[Edc]])</f>
        <v>0</v>
      </c>
      <c r="N11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9.9489750188932771</v>
      </c>
    </row>
    <row r="112" spans="1:14" x14ac:dyDescent="0.25">
      <c r="A112">
        <v>0.53</v>
      </c>
      <c r="B112">
        <f t="shared" si="3"/>
        <v>15.582000000000001</v>
      </c>
      <c r="C112">
        <f>(Vin-Table1[[#This Row],[Vout]])*Table1[[#This Row],[Duty]]/(Frequency*Inductance)</f>
        <v>2.0924400000000003</v>
      </c>
      <c r="D112">
        <f>Irms-Table1[[#This Row],[Ripple Current (A)]]</f>
        <v>17.90756</v>
      </c>
      <c r="E112">
        <f>Irms+Table1[[#This Row],[Ripple Current (A)]]</f>
        <v>22.09244</v>
      </c>
      <c r="F112">
        <f>Table1[[#This Row],[Vout]]*(Table1[[#This Row],[Imin]]+Table1[[#This Row],[Ripple Current (A)]])</f>
        <v>311.64</v>
      </c>
      <c r="G112" s="1">
        <f>Table1[[#This Row],[Pout]]/Frequency</f>
        <v>6.2328000000000001E-3</v>
      </c>
      <c r="H112" s="1">
        <f>Table1[[#This Row],[Duty]]/Frequency</f>
        <v>1.06E-5</v>
      </c>
      <c r="I112" s="1">
        <f>Table1[[#This Row],[Pout]]/Vin</f>
        <v>10.6</v>
      </c>
      <c r="J112" s="1">
        <f>Vin*Table1[[#This Row],[Idc]]*Table1[[#This Row],[Time On]]</f>
        <v>3.3033839999999999E-3</v>
      </c>
      <c r="K112" s="1">
        <f>Table1[[#This Row],[Energy/Cycle]]-Table1[[#This Row],[Edc]]</f>
        <v>2.9294160000000002E-3</v>
      </c>
      <c r="L112" s="1">
        <f>2*Table1[[#This Row],[E Capacitor]]/(Vin^2-(Vin-V_ripple)^2)</f>
        <v>3.9872952786051208E-3</v>
      </c>
      <c r="M112" s="1">
        <f>Table1[[#This Row],[Energy/Cycle]]-(Table1[[#This Row],[E Capacitor]]+Table1[[#This Row],[Edc]])</f>
        <v>0</v>
      </c>
      <c r="N11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9.9431634514808227</v>
      </c>
    </row>
    <row r="113" spans="1:14" x14ac:dyDescent="0.25">
      <c r="A113">
        <v>0.53500000000000003</v>
      </c>
      <c r="B113">
        <f t="shared" si="3"/>
        <v>15.729000000000001</v>
      </c>
      <c r="C113">
        <f>(Vin-Table1[[#This Row],[Vout]])*Table1[[#This Row],[Duty]]/(Frequency*Inductance)</f>
        <v>2.0897099999999997</v>
      </c>
      <c r="D113">
        <f>Irms-Table1[[#This Row],[Ripple Current (A)]]</f>
        <v>17.91029</v>
      </c>
      <c r="E113">
        <f>Irms+Table1[[#This Row],[Ripple Current (A)]]</f>
        <v>22.08971</v>
      </c>
      <c r="F113">
        <f>Table1[[#This Row],[Vout]]*(Table1[[#This Row],[Imin]]+Table1[[#This Row],[Ripple Current (A)]])</f>
        <v>314.58000000000004</v>
      </c>
      <c r="G113" s="1">
        <f>Table1[[#This Row],[Pout]]/Frequency</f>
        <v>6.2916000000000005E-3</v>
      </c>
      <c r="H113" s="1">
        <f>Table1[[#This Row],[Duty]]/Frequency</f>
        <v>1.0700000000000001E-5</v>
      </c>
      <c r="I113" s="1">
        <f>Table1[[#This Row],[Pout]]/Vin</f>
        <v>10.700000000000001</v>
      </c>
      <c r="J113" s="1">
        <f>Vin*Table1[[#This Row],[Idc]]*Table1[[#This Row],[Time On]]</f>
        <v>3.3660060000000008E-3</v>
      </c>
      <c r="K113" s="1">
        <f>Table1[[#This Row],[Energy/Cycle]]-Table1[[#This Row],[Edc]]</f>
        <v>2.9255939999999997E-3</v>
      </c>
      <c r="L113" s="1">
        <f>2*Table1[[#This Row],[E Capacitor]]/(Vin^2-(Vin-V_ripple)^2)</f>
        <v>3.9820930667803641E-3</v>
      </c>
      <c r="M113" s="1">
        <f>Table1[[#This Row],[Energy/Cycle]]-(Table1[[#This Row],[E Capacitor]]+Table1[[#This Row],[Edc]])</f>
        <v>0</v>
      </c>
      <c r="N11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9.9363594101328427</v>
      </c>
    </row>
    <row r="114" spans="1:14" x14ac:dyDescent="0.25">
      <c r="A114">
        <v>0.54</v>
      </c>
      <c r="B114">
        <f t="shared" si="3"/>
        <v>15.875999999999999</v>
      </c>
      <c r="C114">
        <f>(Vin-Table1[[#This Row],[Vout]])*Table1[[#This Row],[Duty]]/(Frequency*Inductance)</f>
        <v>2.08656</v>
      </c>
      <c r="D114">
        <f>Irms-Table1[[#This Row],[Ripple Current (A)]]</f>
        <v>17.913440000000001</v>
      </c>
      <c r="E114">
        <f>Irms+Table1[[#This Row],[Ripple Current (A)]]</f>
        <v>22.086559999999999</v>
      </c>
      <c r="F114">
        <f>Table1[[#This Row],[Vout]]*(Table1[[#This Row],[Imin]]+Table1[[#This Row],[Ripple Current (A)]])</f>
        <v>317.52</v>
      </c>
      <c r="G114" s="1">
        <f>Table1[[#This Row],[Pout]]/Frequency</f>
        <v>6.3504E-3</v>
      </c>
      <c r="H114" s="1">
        <f>Table1[[#This Row],[Duty]]/Frequency</f>
        <v>1.08E-5</v>
      </c>
      <c r="I114" s="1">
        <f>Table1[[#This Row],[Pout]]/Vin</f>
        <v>10.8</v>
      </c>
      <c r="J114" s="1">
        <f>Vin*Table1[[#This Row],[Idc]]*Table1[[#This Row],[Time On]]</f>
        <v>3.4292159999999997E-3</v>
      </c>
      <c r="K114" s="1">
        <f>Table1[[#This Row],[Energy/Cycle]]-Table1[[#This Row],[Edc]]</f>
        <v>2.9211840000000003E-3</v>
      </c>
      <c r="L114" s="1">
        <f>2*Table1[[#This Row],[E Capacitor]]/(Vin^2-(Vin-V_ripple)^2)</f>
        <v>3.9760905146748781E-3</v>
      </c>
      <c r="M114" s="1">
        <f>Table1[[#This Row],[Energy/Cycle]]-(Table1[[#This Row],[E Capacitor]]+Table1[[#This Row],[Edc]])</f>
        <v>0</v>
      </c>
      <c r="N11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9.9285612314147524</v>
      </c>
    </row>
    <row r="115" spans="1:14" x14ac:dyDescent="0.25">
      <c r="A115">
        <v>0.54500000000000004</v>
      </c>
      <c r="B115">
        <f t="shared" si="3"/>
        <v>16.023</v>
      </c>
      <c r="C115">
        <f>(Vin-Table1[[#This Row],[Vout]])*Table1[[#This Row],[Duty]]/(Frequency*Inductance)</f>
        <v>2.0829900000000001</v>
      </c>
      <c r="D115">
        <f>Irms-Table1[[#This Row],[Ripple Current (A)]]</f>
        <v>17.917010000000001</v>
      </c>
      <c r="E115">
        <f>Irms+Table1[[#This Row],[Ripple Current (A)]]</f>
        <v>22.082989999999999</v>
      </c>
      <c r="F115">
        <f>Table1[[#This Row],[Vout]]*(Table1[[#This Row],[Imin]]+Table1[[#This Row],[Ripple Current (A)]])</f>
        <v>320.45999999999998</v>
      </c>
      <c r="G115" s="1">
        <f>Table1[[#This Row],[Pout]]/Frequency</f>
        <v>6.4091999999999994E-3</v>
      </c>
      <c r="H115" s="1">
        <f>Table1[[#This Row],[Duty]]/Frequency</f>
        <v>1.0900000000000001E-5</v>
      </c>
      <c r="I115" s="1">
        <f>Table1[[#This Row],[Pout]]/Vin</f>
        <v>10.9</v>
      </c>
      <c r="J115" s="1">
        <f>Vin*Table1[[#This Row],[Idc]]*Table1[[#This Row],[Time On]]</f>
        <v>3.493014E-3</v>
      </c>
      <c r="K115" s="1">
        <f>Table1[[#This Row],[Energy/Cycle]]-Table1[[#This Row],[Edc]]</f>
        <v>2.9161859999999994E-3</v>
      </c>
      <c r="L115" s="1">
        <f>2*Table1[[#This Row],[E Capacitor]]/(Vin^2-(Vin-V_ripple)^2)</f>
        <v>3.9692876222886574E-3</v>
      </c>
      <c r="M115" s="1">
        <f>Table1[[#This Row],[Energy/Cycle]]-(Table1[[#This Row],[E Capacitor]]+Table1[[#This Row],[Edc]])</f>
        <v>0</v>
      </c>
      <c r="N11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9.919766936100288</v>
      </c>
    </row>
    <row r="116" spans="1:14" x14ac:dyDescent="0.25">
      <c r="A116">
        <v>0.55000000000000004</v>
      </c>
      <c r="B116">
        <f t="shared" si="3"/>
        <v>16.170000000000002</v>
      </c>
      <c r="C116">
        <f>(Vin-Table1[[#This Row],[Vout]])*Table1[[#This Row],[Duty]]/(Frequency*Inductance)</f>
        <v>2.0789999999999997</v>
      </c>
      <c r="D116">
        <f>Irms-Table1[[#This Row],[Ripple Current (A)]]</f>
        <v>17.920999999999999</v>
      </c>
      <c r="E116">
        <f>Irms+Table1[[#This Row],[Ripple Current (A)]]</f>
        <v>22.079000000000001</v>
      </c>
      <c r="F116">
        <f>Table1[[#This Row],[Vout]]*(Table1[[#This Row],[Imin]]+Table1[[#This Row],[Ripple Current (A)]])</f>
        <v>323.40000000000003</v>
      </c>
      <c r="G116" s="1">
        <f>Table1[[#This Row],[Pout]]/Frequency</f>
        <v>6.4680000000000007E-3</v>
      </c>
      <c r="H116" s="1">
        <f>Table1[[#This Row],[Duty]]/Frequency</f>
        <v>1.1000000000000001E-5</v>
      </c>
      <c r="I116" s="1">
        <f>Table1[[#This Row],[Pout]]/Vin</f>
        <v>11.000000000000002</v>
      </c>
      <c r="J116" s="1">
        <f>Vin*Table1[[#This Row],[Idc]]*Table1[[#This Row],[Time On]]</f>
        <v>3.5574000000000009E-3</v>
      </c>
      <c r="K116" s="1">
        <f>Table1[[#This Row],[Energy/Cycle]]-Table1[[#This Row],[Edc]]</f>
        <v>2.9105999999999997E-3</v>
      </c>
      <c r="L116" s="1">
        <f>2*Table1[[#This Row],[E Capacitor]]/(Vin^2-(Vin-V_ripple)^2)</f>
        <v>3.9616843896217073E-3</v>
      </c>
      <c r="M116" s="1">
        <f>Table1[[#This Row],[Energy/Cycle]]-(Table1[[#This Row],[E Capacitor]]+Table1[[#This Row],[Edc]])</f>
        <v>0</v>
      </c>
      <c r="N11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9.9099742254962493</v>
      </c>
    </row>
    <row r="117" spans="1:14" x14ac:dyDescent="0.25">
      <c r="A117">
        <v>0.55500000000000005</v>
      </c>
      <c r="B117">
        <f t="shared" si="3"/>
        <v>16.317</v>
      </c>
      <c r="C117">
        <f>(Vin-Table1[[#This Row],[Vout]])*Table1[[#This Row],[Duty]]/(Frequency*Inductance)</f>
        <v>2.0745900000000002</v>
      </c>
      <c r="D117">
        <f>Irms-Table1[[#This Row],[Ripple Current (A)]]</f>
        <v>17.925409999999999</v>
      </c>
      <c r="E117">
        <f>Irms+Table1[[#This Row],[Ripple Current (A)]]</f>
        <v>22.074590000000001</v>
      </c>
      <c r="F117">
        <f>Table1[[#This Row],[Vout]]*(Table1[[#This Row],[Imin]]+Table1[[#This Row],[Ripple Current (A)]])</f>
        <v>326.34000000000003</v>
      </c>
      <c r="G117" s="1">
        <f>Table1[[#This Row],[Pout]]/Frequency</f>
        <v>6.526800000000001E-3</v>
      </c>
      <c r="H117" s="1">
        <f>Table1[[#This Row],[Duty]]/Frequency</f>
        <v>1.11E-5</v>
      </c>
      <c r="I117" s="1">
        <f>Table1[[#This Row],[Pout]]/Vin</f>
        <v>11.100000000000001</v>
      </c>
      <c r="J117" s="1">
        <f>Vin*Table1[[#This Row],[Idc]]*Table1[[#This Row],[Time On]]</f>
        <v>3.6223740000000007E-3</v>
      </c>
      <c r="K117" s="1">
        <f>Table1[[#This Row],[Energy/Cycle]]-Table1[[#This Row],[Edc]]</f>
        <v>2.9044260000000003E-3</v>
      </c>
      <c r="L117" s="1">
        <f>2*Table1[[#This Row],[E Capacitor]]/(Vin^2-(Vin-V_ripple)^2)</f>
        <v>3.9532808166740253E-3</v>
      </c>
      <c r="M117" s="1">
        <f>Table1[[#This Row],[Energy/Cycle]]-(Table1[[#This Row],[E Capacitor]]+Table1[[#This Row],[Edc]])</f>
        <v>0</v>
      </c>
      <c r="N11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9.899180477261817</v>
      </c>
    </row>
    <row r="118" spans="1:14" x14ac:dyDescent="0.25">
      <c r="A118">
        <v>0.56000000000000005</v>
      </c>
      <c r="B118">
        <f t="shared" si="3"/>
        <v>16.464000000000002</v>
      </c>
      <c r="C118">
        <f>(Vin-Table1[[#This Row],[Vout]])*Table1[[#This Row],[Duty]]/(Frequency*Inductance)</f>
        <v>2.06976</v>
      </c>
      <c r="D118">
        <f>Irms-Table1[[#This Row],[Ripple Current (A)]]</f>
        <v>17.930240000000001</v>
      </c>
      <c r="E118">
        <f>Irms+Table1[[#This Row],[Ripple Current (A)]]</f>
        <v>22.069759999999999</v>
      </c>
      <c r="F118">
        <f>Table1[[#This Row],[Vout]]*(Table1[[#This Row],[Imin]]+Table1[[#This Row],[Ripple Current (A)]])</f>
        <v>329.28000000000003</v>
      </c>
      <c r="G118" s="1">
        <f>Table1[[#This Row],[Pout]]/Frequency</f>
        <v>6.5856000000000005E-3</v>
      </c>
      <c r="H118" s="1">
        <f>Table1[[#This Row],[Duty]]/Frequency</f>
        <v>1.1200000000000001E-5</v>
      </c>
      <c r="I118" s="1">
        <f>Table1[[#This Row],[Pout]]/Vin</f>
        <v>11.200000000000001</v>
      </c>
      <c r="J118" s="1">
        <f>Vin*Table1[[#This Row],[Idc]]*Table1[[#This Row],[Time On]]</f>
        <v>3.6879360000000006E-3</v>
      </c>
      <c r="K118" s="1">
        <f>Table1[[#This Row],[Energy/Cycle]]-Table1[[#This Row],[Edc]]</f>
        <v>2.8976639999999999E-3</v>
      </c>
      <c r="L118" s="1">
        <f>2*Table1[[#This Row],[E Capacitor]]/(Vin^2-(Vin-V_ripple)^2)</f>
        <v>3.9440769034456112E-3</v>
      </c>
      <c r="M118" s="1">
        <f>Table1[[#This Row],[Energy/Cycle]]-(Table1[[#This Row],[E Capacitor]]+Table1[[#This Row],[Edc]])</f>
        <v>0</v>
      </c>
      <c r="N11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9.8873827407078778</v>
      </c>
    </row>
    <row r="119" spans="1:14" x14ac:dyDescent="0.25">
      <c r="A119">
        <v>0.56499999999999995</v>
      </c>
      <c r="B119">
        <f t="shared" si="3"/>
        <v>16.610999999999997</v>
      </c>
      <c r="C119">
        <f>(Vin-Table1[[#This Row],[Vout]])*Table1[[#This Row],[Duty]]/(Frequency*Inductance)</f>
        <v>2.0645100000000003</v>
      </c>
      <c r="D119">
        <f>Irms-Table1[[#This Row],[Ripple Current (A)]]</f>
        <v>17.935490000000001</v>
      </c>
      <c r="E119">
        <f>Irms+Table1[[#This Row],[Ripple Current (A)]]</f>
        <v>22.064509999999999</v>
      </c>
      <c r="F119">
        <f>Table1[[#This Row],[Vout]]*(Table1[[#This Row],[Imin]]+Table1[[#This Row],[Ripple Current (A)]])</f>
        <v>332.21999999999991</v>
      </c>
      <c r="G119" s="1">
        <f>Table1[[#This Row],[Pout]]/Frequency</f>
        <v>6.6443999999999982E-3</v>
      </c>
      <c r="H119" s="1">
        <f>Table1[[#This Row],[Duty]]/Frequency</f>
        <v>1.1299999999999999E-5</v>
      </c>
      <c r="I119" s="1">
        <f>Table1[[#This Row],[Pout]]/Vin</f>
        <v>11.299999999999997</v>
      </c>
      <c r="J119" s="1">
        <f>Vin*Table1[[#This Row],[Idc]]*Table1[[#This Row],[Time On]]</f>
        <v>3.7540859999999985E-3</v>
      </c>
      <c r="K119" s="1">
        <f>Table1[[#This Row],[Energy/Cycle]]-Table1[[#This Row],[Edc]]</f>
        <v>2.8903139999999997E-3</v>
      </c>
      <c r="L119" s="1">
        <f>2*Table1[[#This Row],[E Capacitor]]/(Vin^2-(Vin-V_ripple)^2)</f>
        <v>3.9340726499364652E-3</v>
      </c>
      <c r="M119" s="1">
        <f>Table1[[#This Row],[Energy/Cycle]]-(Table1[[#This Row],[E Capacitor]]+Table1[[#This Row],[Edc]])</f>
        <v>0</v>
      </c>
      <c r="N11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9.8745777315596897</v>
      </c>
    </row>
    <row r="120" spans="1:14" x14ac:dyDescent="0.25">
      <c r="A120">
        <v>0.56999999999999995</v>
      </c>
      <c r="B120">
        <f t="shared" si="3"/>
        <v>16.757999999999999</v>
      </c>
      <c r="C120">
        <f>(Vin-Table1[[#This Row],[Vout]])*Table1[[#This Row],[Duty]]/(Frequency*Inductance)</f>
        <v>2.05884</v>
      </c>
      <c r="D120">
        <f>Irms-Table1[[#This Row],[Ripple Current (A)]]</f>
        <v>17.94116</v>
      </c>
      <c r="E120">
        <f>Irms+Table1[[#This Row],[Ripple Current (A)]]</f>
        <v>22.05884</v>
      </c>
      <c r="F120">
        <f>Table1[[#This Row],[Vout]]*(Table1[[#This Row],[Imin]]+Table1[[#This Row],[Ripple Current (A)]])</f>
        <v>335.15999999999997</v>
      </c>
      <c r="G120" s="1">
        <f>Table1[[#This Row],[Pout]]/Frequency</f>
        <v>6.7031999999999994E-3</v>
      </c>
      <c r="H120" s="1">
        <f>Table1[[#This Row],[Duty]]/Frequency</f>
        <v>1.1399999999999999E-5</v>
      </c>
      <c r="I120" s="1">
        <f>Table1[[#This Row],[Pout]]/Vin</f>
        <v>11.4</v>
      </c>
      <c r="J120" s="1">
        <f>Vin*Table1[[#This Row],[Idc]]*Table1[[#This Row],[Time On]]</f>
        <v>3.8208239999999996E-3</v>
      </c>
      <c r="K120" s="1">
        <f>Table1[[#This Row],[Energy/Cycle]]-Table1[[#This Row],[Edc]]</f>
        <v>2.8823759999999999E-3</v>
      </c>
      <c r="L120" s="1">
        <f>2*Table1[[#This Row],[E Capacitor]]/(Vin^2-(Vin-V_ripple)^2)</f>
        <v>3.923268056146588E-3</v>
      </c>
      <c r="M120" s="1">
        <f>Table1[[#This Row],[Energy/Cycle]]-(Table1[[#This Row],[E Capacitor]]+Table1[[#This Row],[Edc]])</f>
        <v>0</v>
      </c>
      <c r="N12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9.8607618261641434</v>
      </c>
    </row>
    <row r="121" spans="1:14" x14ac:dyDescent="0.25">
      <c r="A121">
        <v>0.57499999999999996</v>
      </c>
      <c r="B121">
        <f t="shared" si="3"/>
        <v>16.904999999999998</v>
      </c>
      <c r="C121">
        <f>(Vin-Table1[[#This Row],[Vout]])*Table1[[#This Row],[Duty]]/(Frequency*Inductance)</f>
        <v>2.0527500000000001</v>
      </c>
      <c r="D121">
        <f>Irms-Table1[[#This Row],[Ripple Current (A)]]</f>
        <v>17.94725</v>
      </c>
      <c r="E121">
        <f>Irms+Table1[[#This Row],[Ripple Current (A)]]</f>
        <v>22.05275</v>
      </c>
      <c r="F121">
        <f>Table1[[#This Row],[Vout]]*(Table1[[#This Row],[Imin]]+Table1[[#This Row],[Ripple Current (A)]])</f>
        <v>338.09999999999997</v>
      </c>
      <c r="G121" s="1">
        <f>Table1[[#This Row],[Pout]]/Frequency</f>
        <v>6.7619999999999989E-3</v>
      </c>
      <c r="H121" s="1">
        <f>Table1[[#This Row],[Duty]]/Frequency</f>
        <v>1.1499999999999998E-5</v>
      </c>
      <c r="I121" s="1">
        <f>Table1[[#This Row],[Pout]]/Vin</f>
        <v>11.5</v>
      </c>
      <c r="J121" s="1">
        <f>Vin*Table1[[#This Row],[Idc]]*Table1[[#This Row],[Time On]]</f>
        <v>3.8881499999999991E-3</v>
      </c>
      <c r="K121" s="1">
        <f>Table1[[#This Row],[Energy/Cycle]]-Table1[[#This Row],[Edc]]</f>
        <v>2.8738499999999998E-3</v>
      </c>
      <c r="L121" s="1">
        <f>2*Table1[[#This Row],[E Capacitor]]/(Vin^2-(Vin-V_ripple)^2)</f>
        <v>3.9116631220759788E-3</v>
      </c>
      <c r="M121" s="1">
        <f>Table1[[#This Row],[Energy/Cycle]]-(Table1[[#This Row],[E Capacitor]]+Table1[[#This Row],[Edc]])</f>
        <v>0</v>
      </c>
      <c r="N12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9.8459310551205625</v>
      </c>
    </row>
    <row r="122" spans="1:14" x14ac:dyDescent="0.25">
      <c r="A122">
        <v>0.57999999999999996</v>
      </c>
      <c r="B122">
        <f t="shared" si="3"/>
        <v>17.052</v>
      </c>
      <c r="C122">
        <f>(Vin-Table1[[#This Row],[Vout]])*Table1[[#This Row],[Duty]]/(Frequency*Inductance)</f>
        <v>2.0462400000000001</v>
      </c>
      <c r="D122">
        <f>Irms-Table1[[#This Row],[Ripple Current (A)]]</f>
        <v>17.953759999999999</v>
      </c>
      <c r="E122">
        <f>Irms+Table1[[#This Row],[Ripple Current (A)]]</f>
        <v>22.046240000000001</v>
      </c>
      <c r="F122">
        <f>Table1[[#This Row],[Vout]]*(Table1[[#This Row],[Imin]]+Table1[[#This Row],[Ripple Current (A)]])</f>
        <v>341.03999999999996</v>
      </c>
      <c r="G122" s="1">
        <f>Table1[[#This Row],[Pout]]/Frequency</f>
        <v>6.8207999999999993E-3</v>
      </c>
      <c r="H122" s="1">
        <f>Table1[[#This Row],[Duty]]/Frequency</f>
        <v>1.1599999999999999E-5</v>
      </c>
      <c r="I122" s="1">
        <f>Table1[[#This Row],[Pout]]/Vin</f>
        <v>11.6</v>
      </c>
      <c r="J122" s="1">
        <f>Vin*Table1[[#This Row],[Idc]]*Table1[[#This Row],[Time On]]</f>
        <v>3.9560639999999996E-3</v>
      </c>
      <c r="K122" s="1">
        <f>Table1[[#This Row],[Energy/Cycle]]-Table1[[#This Row],[Edc]]</f>
        <v>2.8647359999999997E-3</v>
      </c>
      <c r="L122" s="1">
        <f>2*Table1[[#This Row],[E Capacitor]]/(Vin^2-(Vin-V_ripple)^2)</f>
        <v>3.8992578477246376E-3</v>
      </c>
      <c r="M122" s="1">
        <f>Table1[[#This Row],[Energy/Cycle]]-(Table1[[#This Row],[E Capacitor]]+Table1[[#This Row],[Edc]])</f>
        <v>0</v>
      </c>
      <c r="N12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9.8300810963116678</v>
      </c>
    </row>
    <row r="123" spans="1:14" x14ac:dyDescent="0.25">
      <c r="A123">
        <v>0.58499999999999996</v>
      </c>
      <c r="B123">
        <f t="shared" si="3"/>
        <v>17.198999999999998</v>
      </c>
      <c r="C123">
        <f>(Vin-Table1[[#This Row],[Vout]])*Table1[[#This Row],[Duty]]/(Frequency*Inductance)</f>
        <v>2.03931</v>
      </c>
      <c r="D123">
        <f>Irms-Table1[[#This Row],[Ripple Current (A)]]</f>
        <v>17.96069</v>
      </c>
      <c r="E123">
        <f>Irms+Table1[[#This Row],[Ripple Current (A)]]</f>
        <v>22.03931</v>
      </c>
      <c r="F123">
        <f>Table1[[#This Row],[Vout]]*(Table1[[#This Row],[Imin]]+Table1[[#This Row],[Ripple Current (A)]])</f>
        <v>343.97999999999996</v>
      </c>
      <c r="G123" s="1">
        <f>Table1[[#This Row],[Pout]]/Frequency</f>
        <v>6.8795999999999996E-3</v>
      </c>
      <c r="H123" s="1">
        <f>Table1[[#This Row],[Duty]]/Frequency</f>
        <v>1.17E-5</v>
      </c>
      <c r="I123" s="1">
        <f>Table1[[#This Row],[Pout]]/Vin</f>
        <v>11.7</v>
      </c>
      <c r="J123" s="1">
        <f>Vin*Table1[[#This Row],[Idc]]*Table1[[#This Row],[Time On]]</f>
        <v>4.0245659999999994E-3</v>
      </c>
      <c r="K123" s="1">
        <f>Table1[[#This Row],[Energy/Cycle]]-Table1[[#This Row],[Edc]]</f>
        <v>2.8550340000000002E-3</v>
      </c>
      <c r="L123" s="1">
        <f>2*Table1[[#This Row],[E Capacitor]]/(Vin^2-(Vin-V_ripple)^2)</f>
        <v>3.8860522330925662E-3</v>
      </c>
      <c r="M123" s="1">
        <f>Table1[[#This Row],[Energy/Cycle]]-(Table1[[#This Row],[E Capacitor]]+Table1[[#This Row],[Edc]])</f>
        <v>0</v>
      </c>
      <c r="N12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9.8132072673087105</v>
      </c>
    </row>
    <row r="124" spans="1:14" x14ac:dyDescent="0.25">
      <c r="A124">
        <v>0.59</v>
      </c>
      <c r="B124">
        <f t="shared" si="3"/>
        <v>17.345999999999997</v>
      </c>
      <c r="C124">
        <f>(Vin-Table1[[#This Row],[Vout]])*Table1[[#This Row],[Duty]]/(Frequency*Inductance)</f>
        <v>2.0319600000000007</v>
      </c>
      <c r="D124">
        <f>Irms-Table1[[#This Row],[Ripple Current (A)]]</f>
        <v>17.968039999999998</v>
      </c>
      <c r="E124">
        <f>Irms+Table1[[#This Row],[Ripple Current (A)]]</f>
        <v>22.031960000000002</v>
      </c>
      <c r="F124">
        <f>Table1[[#This Row],[Vout]]*(Table1[[#This Row],[Imin]]+Table1[[#This Row],[Ripple Current (A)]])</f>
        <v>346.91999999999996</v>
      </c>
      <c r="G124" s="1">
        <f>Table1[[#This Row],[Pout]]/Frequency</f>
        <v>6.9383999999999991E-3</v>
      </c>
      <c r="H124" s="1">
        <f>Table1[[#This Row],[Duty]]/Frequency</f>
        <v>1.1799999999999999E-5</v>
      </c>
      <c r="I124" s="1">
        <f>Table1[[#This Row],[Pout]]/Vin</f>
        <v>11.799999999999999</v>
      </c>
      <c r="J124" s="1">
        <f>Vin*Table1[[#This Row],[Idc]]*Table1[[#This Row],[Time On]]</f>
        <v>4.0936559999999993E-3</v>
      </c>
      <c r="K124" s="1">
        <f>Table1[[#This Row],[Energy/Cycle]]-Table1[[#This Row],[Edc]]</f>
        <v>2.8447439999999997E-3</v>
      </c>
      <c r="L124" s="1">
        <f>2*Table1[[#This Row],[E Capacitor]]/(Vin^2-(Vin-V_ripple)^2)</f>
        <v>3.8720462781797614E-3</v>
      </c>
      <c r="M124" s="1">
        <f>Table1[[#This Row],[Energy/Cycle]]-(Table1[[#This Row],[E Capacitor]]+Table1[[#This Row],[Edc]])</f>
        <v>0</v>
      </c>
      <c r="N12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9.7953045171220676</v>
      </c>
    </row>
    <row r="125" spans="1:14" x14ac:dyDescent="0.25">
      <c r="A125">
        <v>0.59499999999999997</v>
      </c>
      <c r="B125">
        <f t="shared" si="3"/>
        <v>17.492999999999999</v>
      </c>
      <c r="C125">
        <f>(Vin-Table1[[#This Row],[Vout]])*Table1[[#This Row],[Duty]]/(Frequency*Inductance)</f>
        <v>2.0241899999999999</v>
      </c>
      <c r="D125">
        <f>Irms-Table1[[#This Row],[Ripple Current (A)]]</f>
        <v>17.975809999999999</v>
      </c>
      <c r="E125">
        <f>Irms+Table1[[#This Row],[Ripple Current (A)]]</f>
        <v>22.024190000000001</v>
      </c>
      <c r="F125">
        <f>Table1[[#This Row],[Vout]]*(Table1[[#This Row],[Imin]]+Table1[[#This Row],[Ripple Current (A)]])</f>
        <v>349.85999999999996</v>
      </c>
      <c r="G125" s="1">
        <f>Table1[[#This Row],[Pout]]/Frequency</f>
        <v>6.9971999999999994E-3</v>
      </c>
      <c r="H125" s="1">
        <f>Table1[[#This Row],[Duty]]/Frequency</f>
        <v>1.19E-5</v>
      </c>
      <c r="I125" s="1">
        <f>Table1[[#This Row],[Pout]]/Vin</f>
        <v>11.899999999999999</v>
      </c>
      <c r="J125" s="1">
        <f>Vin*Table1[[#This Row],[Idc]]*Table1[[#This Row],[Time On]]</f>
        <v>4.1633339999999994E-3</v>
      </c>
      <c r="K125" s="1">
        <f>Table1[[#This Row],[Energy/Cycle]]-Table1[[#This Row],[Edc]]</f>
        <v>2.833866E-3</v>
      </c>
      <c r="L125" s="1">
        <f>2*Table1[[#This Row],[E Capacitor]]/(Vin^2-(Vin-V_ripple)^2)</f>
        <v>3.857239982986226E-3</v>
      </c>
      <c r="M125" s="1">
        <f>Table1[[#This Row],[Energy/Cycle]]-(Table1[[#This Row],[E Capacitor]]+Table1[[#This Row],[Edc]])</f>
        <v>0</v>
      </c>
      <c r="N12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9.7763674172656518</v>
      </c>
    </row>
    <row r="126" spans="1:14" x14ac:dyDescent="0.25">
      <c r="A126">
        <v>0.6</v>
      </c>
      <c r="B126">
        <f t="shared" si="3"/>
        <v>17.639999999999997</v>
      </c>
      <c r="C126">
        <f>(Vin-Table1[[#This Row],[Vout]])*Table1[[#This Row],[Duty]]/(Frequency*Inductance)</f>
        <v>2.0160000000000005</v>
      </c>
      <c r="D126">
        <f>Irms-Table1[[#This Row],[Ripple Current (A)]]</f>
        <v>17.983999999999998</v>
      </c>
      <c r="E126">
        <f>Irms+Table1[[#This Row],[Ripple Current (A)]]</f>
        <v>22.016000000000002</v>
      </c>
      <c r="F126">
        <f>Table1[[#This Row],[Vout]]*(Table1[[#This Row],[Imin]]+Table1[[#This Row],[Ripple Current (A)]])</f>
        <v>352.79999999999995</v>
      </c>
      <c r="G126" s="1">
        <f>Table1[[#This Row],[Pout]]/Frequency</f>
        <v>7.0559999999999989E-3</v>
      </c>
      <c r="H126" s="1">
        <f>Table1[[#This Row],[Duty]]/Frequency</f>
        <v>1.2E-5</v>
      </c>
      <c r="I126" s="1">
        <f>Table1[[#This Row],[Pout]]/Vin</f>
        <v>11.999999999999998</v>
      </c>
      <c r="J126" s="1">
        <f>Vin*Table1[[#This Row],[Idc]]*Table1[[#This Row],[Time On]]</f>
        <v>4.2335999999999997E-3</v>
      </c>
      <c r="K126" s="1">
        <f>Table1[[#This Row],[Energy/Cycle]]-Table1[[#This Row],[Edc]]</f>
        <v>2.8223999999999992E-3</v>
      </c>
      <c r="L126" s="1">
        <f>2*Table1[[#This Row],[E Capacitor]]/(Vin^2-(Vin-V_ripple)^2)</f>
        <v>3.8416333475119577E-3</v>
      </c>
      <c r="M126" s="1">
        <f>Table1[[#This Row],[Energy/Cycle]]-(Table1[[#This Row],[E Capacitor]]+Table1[[#This Row],[Edc]])</f>
        <v>0</v>
      </c>
      <c r="N12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9.7563901521003142</v>
      </c>
    </row>
    <row r="127" spans="1:14" x14ac:dyDescent="0.25">
      <c r="A127">
        <v>0.60499999999999998</v>
      </c>
      <c r="B127">
        <f t="shared" si="3"/>
        <v>17.786999999999999</v>
      </c>
      <c r="C127">
        <f>(Vin-Table1[[#This Row],[Vout]])*Table1[[#This Row],[Duty]]/(Frequency*Inductance)</f>
        <v>2.00739</v>
      </c>
      <c r="D127">
        <f>Irms-Table1[[#This Row],[Ripple Current (A)]]</f>
        <v>17.992609999999999</v>
      </c>
      <c r="E127">
        <f>Irms+Table1[[#This Row],[Ripple Current (A)]]</f>
        <v>22.007390000000001</v>
      </c>
      <c r="F127">
        <f>Table1[[#This Row],[Vout]]*(Table1[[#This Row],[Imin]]+Table1[[#This Row],[Ripple Current (A)]])</f>
        <v>355.74</v>
      </c>
      <c r="G127" s="1">
        <f>Table1[[#This Row],[Pout]]/Frequency</f>
        <v>7.1148000000000001E-3</v>
      </c>
      <c r="H127" s="1">
        <f>Table1[[#This Row],[Duty]]/Frequency</f>
        <v>1.2099999999999999E-5</v>
      </c>
      <c r="I127" s="1">
        <f>Table1[[#This Row],[Pout]]/Vin</f>
        <v>12.100000000000001</v>
      </c>
      <c r="J127" s="1">
        <f>Vin*Table1[[#This Row],[Idc]]*Table1[[#This Row],[Time On]]</f>
        <v>4.3044540000000001E-3</v>
      </c>
      <c r="K127" s="1">
        <f>Table1[[#This Row],[Energy/Cycle]]-Table1[[#This Row],[Edc]]</f>
        <v>2.810346E-3</v>
      </c>
      <c r="L127" s="1">
        <f>2*Table1[[#This Row],[E Capacitor]]/(Vin^2-(Vin-V_ripple)^2)</f>
        <v>3.8252263717569596E-3</v>
      </c>
      <c r="M127" s="1">
        <f>Table1[[#This Row],[Energy/Cycle]]-(Table1[[#This Row],[E Capacitor]]+Table1[[#This Row],[Edc]])</f>
        <v>0</v>
      </c>
      <c r="N12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9.7353665084179806</v>
      </c>
    </row>
    <row r="128" spans="1:14" x14ac:dyDescent="0.25">
      <c r="A128">
        <v>0.61</v>
      </c>
      <c r="B128">
        <f t="shared" si="3"/>
        <v>17.933999999999997</v>
      </c>
      <c r="C128">
        <f>(Vin-Table1[[#This Row],[Vout]])*Table1[[#This Row],[Duty]]/(Frequency*Inductance)</f>
        <v>1.9983600000000004</v>
      </c>
      <c r="D128">
        <f>Irms-Table1[[#This Row],[Ripple Current (A)]]</f>
        <v>18.001639999999998</v>
      </c>
      <c r="E128">
        <f>Irms+Table1[[#This Row],[Ripple Current (A)]]</f>
        <v>21.998360000000002</v>
      </c>
      <c r="F128">
        <f>Table1[[#This Row],[Vout]]*(Table1[[#This Row],[Imin]]+Table1[[#This Row],[Ripple Current (A)]])</f>
        <v>358.67999999999995</v>
      </c>
      <c r="G128" s="1">
        <f>Table1[[#This Row],[Pout]]/Frequency</f>
        <v>7.1735999999999987E-3</v>
      </c>
      <c r="H128" s="1">
        <f>Table1[[#This Row],[Duty]]/Frequency</f>
        <v>1.22E-5</v>
      </c>
      <c r="I128" s="1">
        <f>Table1[[#This Row],[Pout]]/Vin</f>
        <v>12.2</v>
      </c>
      <c r="J128" s="1">
        <f>Vin*Table1[[#This Row],[Idc]]*Table1[[#This Row],[Time On]]</f>
        <v>4.3758959999999998E-3</v>
      </c>
      <c r="K128" s="1">
        <f>Table1[[#This Row],[Energy/Cycle]]-Table1[[#This Row],[Edc]]</f>
        <v>2.7977039999999989E-3</v>
      </c>
      <c r="L128" s="1">
        <f>2*Table1[[#This Row],[E Capacitor]]/(Vin^2-(Vin-V_ripple)^2)</f>
        <v>3.8080190557212277E-3</v>
      </c>
      <c r="M128" s="1">
        <f>Table1[[#This Row],[Energy/Cycle]]-(Table1[[#This Row],[E Capacitor]]+Table1[[#This Row],[Edc]])</f>
        <v>0</v>
      </c>
      <c r="N12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9.7132898642245813</v>
      </c>
    </row>
    <row r="129" spans="1:14" x14ac:dyDescent="0.25">
      <c r="A129">
        <v>0.61499999999999999</v>
      </c>
      <c r="B129">
        <f t="shared" si="3"/>
        <v>18.081</v>
      </c>
      <c r="C129">
        <f>(Vin-Table1[[#This Row],[Vout]])*Table1[[#This Row],[Duty]]/(Frequency*Inductance)</f>
        <v>1.9889100000000002</v>
      </c>
      <c r="D129">
        <f>Irms-Table1[[#This Row],[Ripple Current (A)]]</f>
        <v>18.011089999999999</v>
      </c>
      <c r="E129">
        <f>Irms+Table1[[#This Row],[Ripple Current (A)]]</f>
        <v>21.988910000000001</v>
      </c>
      <c r="F129">
        <f>Table1[[#This Row],[Vout]]*(Table1[[#This Row],[Imin]]+Table1[[#This Row],[Ripple Current (A)]])</f>
        <v>361.62</v>
      </c>
      <c r="G129" s="1">
        <f>Table1[[#This Row],[Pout]]/Frequency</f>
        <v>7.2323999999999999E-3</v>
      </c>
      <c r="H129" s="1">
        <f>Table1[[#This Row],[Duty]]/Frequency</f>
        <v>1.2299999999999999E-5</v>
      </c>
      <c r="I129" s="1">
        <f>Table1[[#This Row],[Pout]]/Vin</f>
        <v>12.3</v>
      </c>
      <c r="J129" s="1">
        <f>Vin*Table1[[#This Row],[Idc]]*Table1[[#This Row],[Time On]]</f>
        <v>4.4479259999999996E-3</v>
      </c>
      <c r="K129" s="1">
        <f>Table1[[#This Row],[Energy/Cycle]]-Table1[[#This Row],[Edc]]</f>
        <v>2.7844740000000003E-3</v>
      </c>
      <c r="L129" s="1">
        <f>2*Table1[[#This Row],[E Capacitor]]/(Vin^2-(Vin-V_ripple)^2)</f>
        <v>3.7900113994047673E-3</v>
      </c>
      <c r="M129" s="1">
        <f>Table1[[#This Row],[Energy/Cycle]]-(Table1[[#This Row],[E Capacitor]]+Table1[[#This Row],[Edc]])</f>
        <v>0</v>
      </c>
      <c r="N12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9.6901531766757696</v>
      </c>
    </row>
    <row r="130" spans="1:14" x14ac:dyDescent="0.25">
      <c r="A130">
        <v>0.62</v>
      </c>
      <c r="B130">
        <f t="shared" si="3"/>
        <v>18.227999999999998</v>
      </c>
      <c r="C130">
        <f>(Vin-Table1[[#This Row],[Vout]])*Table1[[#This Row],[Duty]]/(Frequency*Inductance)</f>
        <v>1.9790400000000001</v>
      </c>
      <c r="D130">
        <f>Irms-Table1[[#This Row],[Ripple Current (A)]]</f>
        <v>18.020959999999999</v>
      </c>
      <c r="E130">
        <f>Irms+Table1[[#This Row],[Ripple Current (A)]]</f>
        <v>21.979040000000001</v>
      </c>
      <c r="F130">
        <f>Table1[[#This Row],[Vout]]*(Table1[[#This Row],[Imin]]+Table1[[#This Row],[Ripple Current (A)]])</f>
        <v>364.55999999999995</v>
      </c>
      <c r="G130" s="1">
        <f>Table1[[#This Row],[Pout]]/Frequency</f>
        <v>7.2911999999999986E-3</v>
      </c>
      <c r="H130" s="1">
        <f>Table1[[#This Row],[Duty]]/Frequency</f>
        <v>1.24E-5</v>
      </c>
      <c r="I130" s="1">
        <f>Table1[[#This Row],[Pout]]/Vin</f>
        <v>12.399999999999999</v>
      </c>
      <c r="J130" s="1">
        <f>Vin*Table1[[#This Row],[Idc]]*Table1[[#This Row],[Time On]]</f>
        <v>4.5205439999999996E-3</v>
      </c>
      <c r="K130" s="1">
        <f>Table1[[#This Row],[Energy/Cycle]]-Table1[[#This Row],[Edc]]</f>
        <v>2.7706559999999989E-3</v>
      </c>
      <c r="L130" s="1">
        <f>2*Table1[[#This Row],[E Capacitor]]/(Vin^2-(Vin-V_ripple)^2)</f>
        <v>3.7712034028075715E-3</v>
      </c>
      <c r="M130" s="1">
        <f>Table1[[#This Row],[Energy/Cycle]]-(Table1[[#This Row],[E Capacitor]]+Table1[[#This Row],[Edc]])</f>
        <v>0</v>
      </c>
      <c r="N13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9.6659489691150338</v>
      </c>
    </row>
    <row r="131" spans="1:14" x14ac:dyDescent="0.25">
      <c r="A131">
        <v>0.625</v>
      </c>
      <c r="B131">
        <f t="shared" si="3"/>
        <v>18.375</v>
      </c>
      <c r="C131">
        <f>(Vin-Table1[[#This Row],[Vout]])*Table1[[#This Row],[Duty]]/(Frequency*Inductance)</f>
        <v>1.96875</v>
      </c>
      <c r="D131">
        <f>Irms-Table1[[#This Row],[Ripple Current (A)]]</f>
        <v>18.03125</v>
      </c>
      <c r="E131">
        <f>Irms+Table1[[#This Row],[Ripple Current (A)]]</f>
        <v>21.96875</v>
      </c>
      <c r="F131">
        <f>Table1[[#This Row],[Vout]]*(Table1[[#This Row],[Imin]]+Table1[[#This Row],[Ripple Current (A)]])</f>
        <v>367.5</v>
      </c>
      <c r="G131" s="1">
        <f>Table1[[#This Row],[Pout]]/Frequency</f>
        <v>7.3499999999999998E-3</v>
      </c>
      <c r="H131" s="1">
        <f>Table1[[#This Row],[Duty]]/Frequency</f>
        <v>1.2500000000000001E-5</v>
      </c>
      <c r="I131" s="1">
        <f>Table1[[#This Row],[Pout]]/Vin</f>
        <v>12.5</v>
      </c>
      <c r="J131" s="1">
        <f>Vin*Table1[[#This Row],[Idc]]*Table1[[#This Row],[Time On]]</f>
        <v>4.5937500000000006E-3</v>
      </c>
      <c r="K131" s="1">
        <f>Table1[[#This Row],[Energy/Cycle]]-Table1[[#This Row],[Edc]]</f>
        <v>2.7562499999999992E-3</v>
      </c>
      <c r="L131" s="1">
        <f>2*Table1[[#This Row],[E Capacitor]]/(Vin^2-(Vin-V_ripple)^2)</f>
        <v>3.7515950659296462E-3</v>
      </c>
      <c r="M131" s="1">
        <f>Table1[[#This Row],[Energy/Cycle]]-(Table1[[#This Row],[E Capacitor]]+Table1[[#This Row],[Edc]])</f>
        <v>0</v>
      </c>
      <c r="N13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9.6406693171590785</v>
      </c>
    </row>
    <row r="132" spans="1:14" x14ac:dyDescent="0.25">
      <c r="A132">
        <v>0.63</v>
      </c>
      <c r="B132">
        <f t="shared" si="3"/>
        <v>18.521999999999998</v>
      </c>
      <c r="C132">
        <f>(Vin-Table1[[#This Row],[Vout]])*Table1[[#This Row],[Duty]]/(Frequency*Inductance)</f>
        <v>1.9580400000000002</v>
      </c>
      <c r="D132">
        <f>Irms-Table1[[#This Row],[Ripple Current (A)]]</f>
        <v>18.04196</v>
      </c>
      <c r="E132">
        <f>Irms+Table1[[#This Row],[Ripple Current (A)]]</f>
        <v>21.95804</v>
      </c>
      <c r="F132">
        <f>Table1[[#This Row],[Vout]]*(Table1[[#This Row],[Imin]]+Table1[[#This Row],[Ripple Current (A)]])</f>
        <v>370.43999999999994</v>
      </c>
      <c r="G132" s="1">
        <f>Table1[[#This Row],[Pout]]/Frequency</f>
        <v>7.4087999999999992E-3</v>
      </c>
      <c r="H132" s="1">
        <f>Table1[[#This Row],[Duty]]/Frequency</f>
        <v>1.26E-5</v>
      </c>
      <c r="I132" s="1">
        <f>Table1[[#This Row],[Pout]]/Vin</f>
        <v>12.599999999999998</v>
      </c>
      <c r="J132" s="1">
        <f>Vin*Table1[[#This Row],[Idc]]*Table1[[#This Row],[Time On]]</f>
        <v>4.6675439999999992E-3</v>
      </c>
      <c r="K132" s="1">
        <f>Table1[[#This Row],[Energy/Cycle]]-Table1[[#This Row],[Edc]]</f>
        <v>2.7412560000000001E-3</v>
      </c>
      <c r="L132" s="1">
        <f>2*Table1[[#This Row],[E Capacitor]]/(Vin^2-(Vin-V_ripple)^2)</f>
        <v>3.7311863887709898E-3</v>
      </c>
      <c r="M132" s="1">
        <f>Table1[[#This Row],[Energy/Cycle]]-(Table1[[#This Row],[E Capacitor]]+Table1[[#This Row],[Edc]])</f>
        <v>0</v>
      </c>
      <c r="N13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9.6143058337700076</v>
      </c>
    </row>
    <row r="133" spans="1:14" x14ac:dyDescent="0.25">
      <c r="A133">
        <v>0.63500000000000001</v>
      </c>
      <c r="B133">
        <f t="shared" si="3"/>
        <v>18.669</v>
      </c>
      <c r="C133">
        <f>(Vin-Table1[[#This Row],[Vout]])*Table1[[#This Row],[Duty]]/(Frequency*Inductance)</f>
        <v>1.9469100000000001</v>
      </c>
      <c r="D133">
        <f>Irms-Table1[[#This Row],[Ripple Current (A)]]</f>
        <v>18.053090000000001</v>
      </c>
      <c r="E133">
        <f>Irms+Table1[[#This Row],[Ripple Current (A)]]</f>
        <v>21.946909999999999</v>
      </c>
      <c r="F133">
        <f>Table1[[#This Row],[Vout]]*(Table1[[#This Row],[Imin]]+Table1[[#This Row],[Ripple Current (A)]])</f>
        <v>373.38</v>
      </c>
      <c r="G133" s="1">
        <f>Table1[[#This Row],[Pout]]/Frequency</f>
        <v>7.4675999999999996E-3</v>
      </c>
      <c r="H133" s="1">
        <f>Table1[[#This Row],[Duty]]/Frequency</f>
        <v>1.27E-5</v>
      </c>
      <c r="I133" s="1">
        <f>Table1[[#This Row],[Pout]]/Vin</f>
        <v>12.700000000000001</v>
      </c>
      <c r="J133" s="1">
        <f>Vin*Table1[[#This Row],[Idc]]*Table1[[#This Row],[Time On]]</f>
        <v>4.7419260000000005E-3</v>
      </c>
      <c r="K133" s="1">
        <f>Table1[[#This Row],[Energy/Cycle]]-Table1[[#This Row],[Edc]]</f>
        <v>2.7256739999999991E-3</v>
      </c>
      <c r="L133" s="1">
        <f>2*Table1[[#This Row],[E Capacitor]]/(Vin^2-(Vin-V_ripple)^2)</f>
        <v>3.7099773713315997E-3</v>
      </c>
      <c r="M133" s="1">
        <f>Table1[[#This Row],[Energy/Cycle]]-(Table1[[#This Row],[E Capacitor]]+Table1[[#This Row],[Edc]])</f>
        <v>0</v>
      </c>
      <c r="N13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9.586849653248219</v>
      </c>
    </row>
    <row r="134" spans="1:14" x14ac:dyDescent="0.25">
      <c r="A134">
        <v>0.64</v>
      </c>
      <c r="B134">
        <f t="shared" si="3"/>
        <v>18.815999999999999</v>
      </c>
      <c r="C134">
        <f>(Vin-Table1[[#This Row],[Vout]])*Table1[[#This Row],[Duty]]/(Frequency*Inductance)</f>
        <v>1.9353600000000004</v>
      </c>
      <c r="D134">
        <f>Irms-Table1[[#This Row],[Ripple Current (A)]]</f>
        <v>18.064640000000001</v>
      </c>
      <c r="E134">
        <f>Irms+Table1[[#This Row],[Ripple Current (A)]]</f>
        <v>21.935359999999999</v>
      </c>
      <c r="F134">
        <f>Table1[[#This Row],[Vout]]*(Table1[[#This Row],[Imin]]+Table1[[#This Row],[Ripple Current (A)]])</f>
        <v>376.32</v>
      </c>
      <c r="G134" s="1">
        <f>Table1[[#This Row],[Pout]]/Frequency</f>
        <v>7.5263999999999999E-3</v>
      </c>
      <c r="H134" s="1">
        <f>Table1[[#This Row],[Duty]]/Frequency</f>
        <v>1.2799999999999999E-5</v>
      </c>
      <c r="I134" s="1">
        <f>Table1[[#This Row],[Pout]]/Vin</f>
        <v>12.8</v>
      </c>
      <c r="J134" s="1">
        <f>Vin*Table1[[#This Row],[Idc]]*Table1[[#This Row],[Time On]]</f>
        <v>4.8168959999999993E-3</v>
      </c>
      <c r="K134" s="1">
        <f>Table1[[#This Row],[Energy/Cycle]]-Table1[[#This Row],[Edc]]</f>
        <v>2.7095040000000006E-3</v>
      </c>
      <c r="L134" s="1">
        <f>2*Table1[[#This Row],[E Capacitor]]/(Vin^2-(Vin-V_ripple)^2)</f>
        <v>3.6879680136114811E-3</v>
      </c>
      <c r="M134" s="1">
        <f>Table1[[#This Row],[Energy/Cycle]]-(Table1[[#This Row],[E Capacitor]]+Table1[[#This Row],[Edc]])</f>
        <v>0</v>
      </c>
      <c r="N13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9.5582914140735422</v>
      </c>
    </row>
    <row r="135" spans="1:14" x14ac:dyDescent="0.25">
      <c r="A135">
        <v>0.64500000000000002</v>
      </c>
      <c r="B135">
        <f t="shared" ref="B135:B166" si="4">A135*Vin</f>
        <v>18.963000000000001</v>
      </c>
      <c r="C135">
        <f>(Vin-Table1[[#This Row],[Vout]])*Table1[[#This Row],[Duty]]/(Frequency*Inductance)</f>
        <v>1.9233899999999997</v>
      </c>
      <c r="D135">
        <f>Irms-Table1[[#This Row],[Ripple Current (A)]]</f>
        <v>18.076609999999999</v>
      </c>
      <c r="E135">
        <f>Irms+Table1[[#This Row],[Ripple Current (A)]]</f>
        <v>21.923390000000001</v>
      </c>
      <c r="F135">
        <f>Table1[[#This Row],[Vout]]*(Table1[[#This Row],[Imin]]+Table1[[#This Row],[Ripple Current (A)]])</f>
        <v>379.26</v>
      </c>
      <c r="G135" s="1">
        <f>Table1[[#This Row],[Pout]]/Frequency</f>
        <v>7.5851999999999994E-3</v>
      </c>
      <c r="H135" s="1">
        <f>Table1[[#This Row],[Duty]]/Frequency</f>
        <v>1.29E-5</v>
      </c>
      <c r="I135" s="1">
        <f>Table1[[#This Row],[Pout]]/Vin</f>
        <v>12.9</v>
      </c>
      <c r="J135" s="1">
        <f>Vin*Table1[[#This Row],[Idc]]*Table1[[#This Row],[Time On]]</f>
        <v>4.8924540000000001E-3</v>
      </c>
      <c r="K135" s="1">
        <f>Table1[[#This Row],[Energy/Cycle]]-Table1[[#This Row],[Edc]]</f>
        <v>2.6927459999999993E-3</v>
      </c>
      <c r="L135" s="1">
        <f>2*Table1[[#This Row],[E Capacitor]]/(Vin^2-(Vin-V_ripple)^2)</f>
        <v>3.665158315610627E-3</v>
      </c>
      <c r="M135" s="1">
        <f>Table1[[#This Row],[Energy/Cycle]]-(Table1[[#This Row],[E Capacitor]]+Table1[[#This Row],[Edc]])</f>
        <v>0</v>
      </c>
      <c r="N13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9.5286212405152551</v>
      </c>
    </row>
    <row r="136" spans="1:14" x14ac:dyDescent="0.25">
      <c r="A136">
        <v>0.65</v>
      </c>
      <c r="B136">
        <f t="shared" si="4"/>
        <v>19.11</v>
      </c>
      <c r="C136">
        <f>(Vin-Table1[[#This Row],[Vout]])*Table1[[#This Row],[Duty]]/(Frequency*Inductance)</f>
        <v>1.911</v>
      </c>
      <c r="D136">
        <f>Irms-Table1[[#This Row],[Ripple Current (A)]]</f>
        <v>18.088999999999999</v>
      </c>
      <c r="E136">
        <f>Irms+Table1[[#This Row],[Ripple Current (A)]]</f>
        <v>21.911000000000001</v>
      </c>
      <c r="F136">
        <f>Table1[[#This Row],[Vout]]*(Table1[[#This Row],[Imin]]+Table1[[#This Row],[Ripple Current (A)]])</f>
        <v>382.2</v>
      </c>
      <c r="G136" s="1">
        <f>Table1[[#This Row],[Pout]]/Frequency</f>
        <v>7.6439999999999998E-3</v>
      </c>
      <c r="H136" s="1">
        <f>Table1[[#This Row],[Duty]]/Frequency</f>
        <v>1.3000000000000001E-5</v>
      </c>
      <c r="I136" s="1">
        <f>Table1[[#This Row],[Pout]]/Vin</f>
        <v>13</v>
      </c>
      <c r="J136" s="1">
        <f>Vin*Table1[[#This Row],[Idc]]*Table1[[#This Row],[Time On]]</f>
        <v>4.9686000000000001E-3</v>
      </c>
      <c r="K136" s="1">
        <f>Table1[[#This Row],[Energy/Cycle]]-Table1[[#This Row],[Edc]]</f>
        <v>2.6753999999999997E-3</v>
      </c>
      <c r="L136" s="1">
        <f>2*Table1[[#This Row],[E Capacitor]]/(Vin^2-(Vin-V_ripple)^2)</f>
        <v>3.6415482773290439E-3</v>
      </c>
      <c r="M136" s="1">
        <f>Table1[[#This Row],[Energy/Cycle]]-(Table1[[#This Row],[E Capacitor]]+Table1[[#This Row],[Edc]])</f>
        <v>0</v>
      </c>
      <c r="N13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9.4978287229239911</v>
      </c>
    </row>
    <row r="137" spans="1:14" x14ac:dyDescent="0.25">
      <c r="A137">
        <v>0.65500000000000003</v>
      </c>
      <c r="B137">
        <f t="shared" si="4"/>
        <v>19.257000000000001</v>
      </c>
      <c r="C137">
        <f>(Vin-Table1[[#This Row],[Vout]])*Table1[[#This Row],[Duty]]/(Frequency*Inductance)</f>
        <v>1.8981899999999998</v>
      </c>
      <c r="D137">
        <f>Irms-Table1[[#This Row],[Ripple Current (A)]]</f>
        <v>18.10181</v>
      </c>
      <c r="E137">
        <f>Irms+Table1[[#This Row],[Ripple Current (A)]]</f>
        <v>21.89819</v>
      </c>
      <c r="F137">
        <f>Table1[[#This Row],[Vout]]*(Table1[[#This Row],[Imin]]+Table1[[#This Row],[Ripple Current (A)]])</f>
        <v>385.14000000000004</v>
      </c>
      <c r="G137" s="1">
        <f>Table1[[#This Row],[Pout]]/Frequency</f>
        <v>7.702800000000001E-3</v>
      </c>
      <c r="H137" s="1">
        <f>Table1[[#This Row],[Duty]]/Frequency</f>
        <v>1.31E-5</v>
      </c>
      <c r="I137" s="1">
        <f>Table1[[#This Row],[Pout]]/Vin</f>
        <v>13.100000000000001</v>
      </c>
      <c r="J137" s="1">
        <f>Vin*Table1[[#This Row],[Idc]]*Table1[[#This Row],[Time On]]</f>
        <v>5.0453340000000003E-3</v>
      </c>
      <c r="K137" s="1">
        <f>Table1[[#This Row],[Energy/Cycle]]-Table1[[#This Row],[Edc]]</f>
        <v>2.6574660000000007E-3</v>
      </c>
      <c r="L137" s="1">
        <f>2*Table1[[#This Row],[E Capacitor]]/(Vin^2-(Vin-V_ripple)^2)</f>
        <v>3.6171378987667297E-3</v>
      </c>
      <c r="M137" s="1">
        <f>Table1[[#This Row],[Energy/Cycle]]-(Table1[[#This Row],[E Capacitor]]+Table1[[#This Row],[Edc]])</f>
        <v>0</v>
      </c>
      <c r="N13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9.4659028966101015</v>
      </c>
    </row>
    <row r="138" spans="1:14" x14ac:dyDescent="0.25">
      <c r="A138">
        <v>0.66</v>
      </c>
      <c r="B138">
        <f t="shared" si="4"/>
        <v>19.404</v>
      </c>
      <c r="C138">
        <f>(Vin-Table1[[#This Row],[Vout]])*Table1[[#This Row],[Duty]]/(Frequency*Inductance)</f>
        <v>1.88496</v>
      </c>
      <c r="D138">
        <f>Irms-Table1[[#This Row],[Ripple Current (A)]]</f>
        <v>18.11504</v>
      </c>
      <c r="E138">
        <f>Irms+Table1[[#This Row],[Ripple Current (A)]]</f>
        <v>21.88496</v>
      </c>
      <c r="F138">
        <f>Table1[[#This Row],[Vout]]*(Table1[[#This Row],[Imin]]+Table1[[#This Row],[Ripple Current (A)]])</f>
        <v>388.08</v>
      </c>
      <c r="G138" s="1">
        <f>Table1[[#This Row],[Pout]]/Frequency</f>
        <v>7.7615999999999996E-3</v>
      </c>
      <c r="H138" s="1">
        <f>Table1[[#This Row],[Duty]]/Frequency</f>
        <v>1.3200000000000001E-5</v>
      </c>
      <c r="I138" s="1">
        <f>Table1[[#This Row],[Pout]]/Vin</f>
        <v>13.2</v>
      </c>
      <c r="J138" s="1">
        <f>Vin*Table1[[#This Row],[Idc]]*Table1[[#This Row],[Time On]]</f>
        <v>5.1226559999999997E-3</v>
      </c>
      <c r="K138" s="1">
        <f>Table1[[#This Row],[Energy/Cycle]]-Table1[[#This Row],[Edc]]</f>
        <v>2.6389439999999998E-3</v>
      </c>
      <c r="L138" s="1">
        <f>2*Table1[[#This Row],[E Capacitor]]/(Vin^2-(Vin-V_ripple)^2)</f>
        <v>3.5919271799236814E-3</v>
      </c>
      <c r="M138" s="1">
        <f>Table1[[#This Row],[Energy/Cycle]]-(Table1[[#This Row],[E Capacitor]]+Table1[[#This Row],[Edc]])</f>
        <v>0</v>
      </c>
      <c r="N13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9.4328322192037319</v>
      </c>
    </row>
    <row r="139" spans="1:14" x14ac:dyDescent="0.25">
      <c r="A139">
        <v>0.66500000000000004</v>
      </c>
      <c r="B139">
        <f t="shared" si="4"/>
        <v>19.550999999999998</v>
      </c>
      <c r="C139">
        <f>(Vin-Table1[[#This Row],[Vout]])*Table1[[#This Row],[Duty]]/(Frequency*Inductance)</f>
        <v>1.8713100000000003</v>
      </c>
      <c r="D139">
        <f>Irms-Table1[[#This Row],[Ripple Current (A)]]</f>
        <v>18.128689999999999</v>
      </c>
      <c r="E139">
        <f>Irms+Table1[[#This Row],[Ripple Current (A)]]</f>
        <v>21.871310000000001</v>
      </c>
      <c r="F139">
        <f>Table1[[#This Row],[Vout]]*(Table1[[#This Row],[Imin]]+Table1[[#This Row],[Ripple Current (A)]])</f>
        <v>391.02</v>
      </c>
      <c r="G139" s="1">
        <f>Table1[[#This Row],[Pout]]/Frequency</f>
        <v>7.8203999999999999E-3</v>
      </c>
      <c r="H139" s="1">
        <f>Table1[[#This Row],[Duty]]/Frequency</f>
        <v>1.3300000000000001E-5</v>
      </c>
      <c r="I139" s="1">
        <f>Table1[[#This Row],[Pout]]/Vin</f>
        <v>13.3</v>
      </c>
      <c r="J139" s="1">
        <f>Vin*Table1[[#This Row],[Idc]]*Table1[[#This Row],[Time On]]</f>
        <v>5.2005660000000002E-3</v>
      </c>
      <c r="K139" s="1">
        <f>Table1[[#This Row],[Energy/Cycle]]-Table1[[#This Row],[Edc]]</f>
        <v>2.6198339999999997E-3</v>
      </c>
      <c r="L139" s="1">
        <f>2*Table1[[#This Row],[E Capacitor]]/(Vin^2-(Vin-V_ripple)^2)</f>
        <v>3.5659161207999019E-3</v>
      </c>
      <c r="M139" s="1">
        <f>Table1[[#This Row],[Energy/Cycle]]-(Table1[[#This Row],[E Capacitor]]+Table1[[#This Row],[Edc]])</f>
        <v>0</v>
      </c>
      <c r="N13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9.3986045463815788</v>
      </c>
    </row>
    <row r="140" spans="1:14" x14ac:dyDescent="0.25">
      <c r="A140">
        <v>0.67</v>
      </c>
      <c r="B140">
        <f t="shared" si="4"/>
        <v>19.698</v>
      </c>
      <c r="C140">
        <f>(Vin-Table1[[#This Row],[Vout]])*Table1[[#This Row],[Duty]]/(Frequency*Inductance)</f>
        <v>1.85724</v>
      </c>
      <c r="D140">
        <f>Irms-Table1[[#This Row],[Ripple Current (A)]]</f>
        <v>18.142759999999999</v>
      </c>
      <c r="E140">
        <f>Irms+Table1[[#This Row],[Ripple Current (A)]]</f>
        <v>21.857240000000001</v>
      </c>
      <c r="F140">
        <f>Table1[[#This Row],[Vout]]*(Table1[[#This Row],[Imin]]+Table1[[#This Row],[Ripple Current (A)]])</f>
        <v>393.96000000000004</v>
      </c>
      <c r="G140" s="1">
        <f>Table1[[#This Row],[Pout]]/Frequency</f>
        <v>7.8792000000000011E-3</v>
      </c>
      <c r="H140" s="1">
        <f>Table1[[#This Row],[Duty]]/Frequency</f>
        <v>1.34E-5</v>
      </c>
      <c r="I140" s="1">
        <f>Table1[[#This Row],[Pout]]/Vin</f>
        <v>13.400000000000002</v>
      </c>
      <c r="J140" s="1">
        <f>Vin*Table1[[#This Row],[Idc]]*Table1[[#This Row],[Time On]]</f>
        <v>5.2790640000000008E-3</v>
      </c>
      <c r="K140" s="1">
        <f>Table1[[#This Row],[Energy/Cycle]]-Table1[[#This Row],[Edc]]</f>
        <v>2.6001360000000003E-3</v>
      </c>
      <c r="L140" s="1">
        <f>2*Table1[[#This Row],[E Capacitor]]/(Vin^2-(Vin-V_ripple)^2)</f>
        <v>3.5391047213953922E-3</v>
      </c>
      <c r="M140" s="1">
        <f>Table1[[#This Row],[Energy/Cycle]]-(Table1[[#This Row],[E Capacitor]]+Table1[[#This Row],[Edc]])</f>
        <v>0</v>
      </c>
      <c r="N14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9.3632071058337694</v>
      </c>
    </row>
    <row r="141" spans="1:14" x14ac:dyDescent="0.25">
      <c r="A141">
        <v>0.67500000000000004</v>
      </c>
      <c r="B141">
        <f t="shared" si="4"/>
        <v>19.844999999999999</v>
      </c>
      <c r="C141">
        <f>(Vin-Table1[[#This Row],[Vout]])*Table1[[#This Row],[Duty]]/(Frequency*Inductance)</f>
        <v>1.8427500000000003</v>
      </c>
      <c r="D141">
        <f>Irms-Table1[[#This Row],[Ripple Current (A)]]</f>
        <v>18.157250000000001</v>
      </c>
      <c r="E141">
        <f>Irms+Table1[[#This Row],[Ripple Current (A)]]</f>
        <v>21.842749999999999</v>
      </c>
      <c r="F141">
        <f>Table1[[#This Row],[Vout]]*(Table1[[#This Row],[Imin]]+Table1[[#This Row],[Ripple Current (A)]])</f>
        <v>396.9</v>
      </c>
      <c r="G141" s="1">
        <f>Table1[[#This Row],[Pout]]/Frequency</f>
        <v>7.9379999999999989E-3</v>
      </c>
      <c r="H141" s="1">
        <f>Table1[[#This Row],[Duty]]/Frequency</f>
        <v>1.3500000000000001E-5</v>
      </c>
      <c r="I141" s="1">
        <f>Table1[[#This Row],[Pout]]/Vin</f>
        <v>13.5</v>
      </c>
      <c r="J141" s="1">
        <f>Vin*Table1[[#This Row],[Idc]]*Table1[[#This Row],[Time On]]</f>
        <v>5.3581499999999999E-3</v>
      </c>
      <c r="K141" s="1">
        <f>Table1[[#This Row],[Energy/Cycle]]-Table1[[#This Row],[Edc]]</f>
        <v>2.579849999999999E-3</v>
      </c>
      <c r="L141" s="1">
        <f>2*Table1[[#This Row],[E Capacitor]]/(Vin^2-(Vin-V_ripple)^2)</f>
        <v>3.5114929817101482E-3</v>
      </c>
      <c r="M141" s="1">
        <f>Table1[[#This Row],[Energy/Cycle]]-(Table1[[#This Row],[E Capacitor]]+Table1[[#This Row],[Edc]])</f>
        <v>0</v>
      </c>
      <c r="N14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9.3266264693316359</v>
      </c>
    </row>
    <row r="142" spans="1:14" x14ac:dyDescent="0.25">
      <c r="A142">
        <v>0.68</v>
      </c>
      <c r="B142">
        <f t="shared" si="4"/>
        <v>19.992000000000001</v>
      </c>
      <c r="C142">
        <f>(Vin-Table1[[#This Row],[Vout]])*Table1[[#This Row],[Duty]]/(Frequency*Inductance)</f>
        <v>1.8278399999999999</v>
      </c>
      <c r="D142">
        <f>Irms-Table1[[#This Row],[Ripple Current (A)]]</f>
        <v>18.172160000000002</v>
      </c>
      <c r="E142">
        <f>Irms+Table1[[#This Row],[Ripple Current (A)]]</f>
        <v>21.827839999999998</v>
      </c>
      <c r="F142">
        <f>Table1[[#This Row],[Vout]]*(Table1[[#This Row],[Imin]]+Table1[[#This Row],[Ripple Current (A)]])</f>
        <v>399.84000000000003</v>
      </c>
      <c r="G142" s="1">
        <f>Table1[[#This Row],[Pout]]/Frequency</f>
        <v>7.9968000000000001E-3</v>
      </c>
      <c r="H142" s="1">
        <f>Table1[[#This Row],[Duty]]/Frequency</f>
        <v>1.36E-5</v>
      </c>
      <c r="I142" s="1">
        <f>Table1[[#This Row],[Pout]]/Vin</f>
        <v>13.600000000000001</v>
      </c>
      <c r="J142" s="1">
        <f>Vin*Table1[[#This Row],[Idc]]*Table1[[#This Row],[Time On]]</f>
        <v>5.4378240000000008E-3</v>
      </c>
      <c r="K142" s="1">
        <f>Table1[[#This Row],[Energy/Cycle]]-Table1[[#This Row],[Edc]]</f>
        <v>2.5589759999999993E-3</v>
      </c>
      <c r="L142" s="1">
        <f>2*Table1[[#This Row],[E Capacitor]]/(Vin^2-(Vin-V_ripple)^2)</f>
        <v>3.4830809017441749E-3</v>
      </c>
      <c r="M142" s="1">
        <f>Table1[[#This Row],[Energy/Cycle]]-(Table1[[#This Row],[E Capacitor]]+Table1[[#This Row],[Edc]])</f>
        <v>0</v>
      </c>
      <c r="N14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9.2888485227429562</v>
      </c>
    </row>
    <row r="143" spans="1:14" x14ac:dyDescent="0.25">
      <c r="A143">
        <v>0.68500000000000005</v>
      </c>
      <c r="B143">
        <f t="shared" si="4"/>
        <v>20.138999999999999</v>
      </c>
      <c r="C143">
        <f>(Vin-Table1[[#This Row],[Vout]])*Table1[[#This Row],[Duty]]/(Frequency*Inductance)</f>
        <v>1.8125100000000001</v>
      </c>
      <c r="D143">
        <f>Irms-Table1[[#This Row],[Ripple Current (A)]]</f>
        <v>18.18749</v>
      </c>
      <c r="E143">
        <f>Irms+Table1[[#This Row],[Ripple Current (A)]]</f>
        <v>21.81251</v>
      </c>
      <c r="F143">
        <f>Table1[[#This Row],[Vout]]*(Table1[[#This Row],[Imin]]+Table1[[#This Row],[Ripple Current (A)]])</f>
        <v>402.78</v>
      </c>
      <c r="G143" s="1">
        <f>Table1[[#This Row],[Pout]]/Frequency</f>
        <v>8.0555999999999996E-3</v>
      </c>
      <c r="H143" s="1">
        <f>Table1[[#This Row],[Duty]]/Frequency</f>
        <v>1.3700000000000001E-5</v>
      </c>
      <c r="I143" s="1">
        <f>Table1[[#This Row],[Pout]]/Vin</f>
        <v>13.7</v>
      </c>
      <c r="J143" s="1">
        <f>Vin*Table1[[#This Row],[Idc]]*Table1[[#This Row],[Time On]]</f>
        <v>5.5180860000000002E-3</v>
      </c>
      <c r="K143" s="1">
        <f>Table1[[#This Row],[Energy/Cycle]]-Table1[[#This Row],[Edc]]</f>
        <v>2.5375139999999994E-3</v>
      </c>
      <c r="L143" s="1">
        <f>2*Table1[[#This Row],[E Capacitor]]/(Vin^2-(Vin-V_ripple)^2)</f>
        <v>3.4538684814974696E-3</v>
      </c>
      <c r="M143" s="1">
        <f>Table1[[#This Row],[Energy/Cycle]]-(Table1[[#This Row],[E Capacitor]]+Table1[[#This Row],[Edc]])</f>
        <v>0</v>
      </c>
      <c r="N14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9.2498584338253789</v>
      </c>
    </row>
    <row r="144" spans="1:14" x14ac:dyDescent="0.25">
      <c r="A144">
        <v>0.69</v>
      </c>
      <c r="B144">
        <f t="shared" si="4"/>
        <v>20.285999999999998</v>
      </c>
      <c r="C144">
        <f>(Vin-Table1[[#This Row],[Vout]])*Table1[[#This Row],[Duty]]/(Frequency*Inductance)</f>
        <v>1.7967600000000004</v>
      </c>
      <c r="D144">
        <f>Irms-Table1[[#This Row],[Ripple Current (A)]]</f>
        <v>18.203240000000001</v>
      </c>
      <c r="E144">
        <f>Irms+Table1[[#This Row],[Ripple Current (A)]]</f>
        <v>21.796759999999999</v>
      </c>
      <c r="F144">
        <f>Table1[[#This Row],[Vout]]*(Table1[[#This Row],[Imin]]+Table1[[#This Row],[Ripple Current (A)]])</f>
        <v>405.71999999999997</v>
      </c>
      <c r="G144" s="1">
        <f>Table1[[#This Row],[Pout]]/Frequency</f>
        <v>8.114399999999999E-3</v>
      </c>
      <c r="H144" s="1">
        <f>Table1[[#This Row],[Duty]]/Frequency</f>
        <v>1.3799999999999998E-5</v>
      </c>
      <c r="I144" s="1">
        <f>Table1[[#This Row],[Pout]]/Vin</f>
        <v>13.799999999999999</v>
      </c>
      <c r="J144" s="1">
        <f>Vin*Table1[[#This Row],[Idc]]*Table1[[#This Row],[Time On]]</f>
        <v>5.5989359999999988E-3</v>
      </c>
      <c r="K144" s="1">
        <f>Table1[[#This Row],[Energy/Cycle]]-Table1[[#This Row],[Edc]]</f>
        <v>2.5154640000000002E-3</v>
      </c>
      <c r="L144" s="1">
        <f>2*Table1[[#This Row],[E Capacitor]]/(Vin^2-(Vin-V_ripple)^2)</f>
        <v>3.4238557209700336E-3</v>
      </c>
      <c r="M144" s="1">
        <f>Table1[[#This Row],[Energy/Cycle]]-(Table1[[#This Row],[E Capacitor]]+Table1[[#This Row],[Edc]])</f>
        <v>0</v>
      </c>
      <c r="N14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9.2096406176110914</v>
      </c>
    </row>
    <row r="145" spans="1:14" x14ac:dyDescent="0.25">
      <c r="A145">
        <v>0.69499999999999995</v>
      </c>
      <c r="B145">
        <f t="shared" si="4"/>
        <v>20.432999999999996</v>
      </c>
      <c r="C145">
        <f>(Vin-Table1[[#This Row],[Vout]])*Table1[[#This Row],[Duty]]/(Frequency*Inductance)</f>
        <v>1.7805900000000006</v>
      </c>
      <c r="D145">
        <f>Irms-Table1[[#This Row],[Ripple Current (A)]]</f>
        <v>18.21941</v>
      </c>
      <c r="E145">
        <f>Irms+Table1[[#This Row],[Ripple Current (A)]]</f>
        <v>21.78059</v>
      </c>
      <c r="F145">
        <f>Table1[[#This Row],[Vout]]*(Table1[[#This Row],[Imin]]+Table1[[#This Row],[Ripple Current (A)]])</f>
        <v>408.65999999999991</v>
      </c>
      <c r="G145" s="1">
        <f>Table1[[#This Row],[Pout]]/Frequency</f>
        <v>8.1731999999999985E-3</v>
      </c>
      <c r="H145" s="1">
        <f>Table1[[#This Row],[Duty]]/Frequency</f>
        <v>1.3899999999999999E-5</v>
      </c>
      <c r="I145" s="1">
        <f>Table1[[#This Row],[Pout]]/Vin</f>
        <v>13.899999999999997</v>
      </c>
      <c r="J145" s="1">
        <f>Vin*Table1[[#This Row],[Idc]]*Table1[[#This Row],[Time On]]</f>
        <v>5.6803739999999985E-3</v>
      </c>
      <c r="K145" s="1">
        <f>Table1[[#This Row],[Energy/Cycle]]-Table1[[#This Row],[Edc]]</f>
        <v>2.4928260000000001E-3</v>
      </c>
      <c r="L145" s="1">
        <f>2*Table1[[#This Row],[E Capacitor]]/(Vin^2-(Vin-V_ripple)^2)</f>
        <v>3.3930426201618643E-3</v>
      </c>
      <c r="M145" s="1">
        <f>Table1[[#This Row],[Energy/Cycle]]-(Table1[[#This Row],[E Capacitor]]+Table1[[#This Row],[Edc]])</f>
        <v>0</v>
      </c>
      <c r="N14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9.1681786991759449</v>
      </c>
    </row>
    <row r="146" spans="1:14" x14ac:dyDescent="0.25">
      <c r="A146">
        <v>0.7</v>
      </c>
      <c r="B146">
        <f t="shared" si="4"/>
        <v>20.58</v>
      </c>
      <c r="C146">
        <f>(Vin-Table1[[#This Row],[Vout]])*Table1[[#This Row],[Duty]]/(Frequency*Inductance)</f>
        <v>1.764</v>
      </c>
      <c r="D146">
        <f>Irms-Table1[[#This Row],[Ripple Current (A)]]</f>
        <v>18.236000000000001</v>
      </c>
      <c r="E146">
        <f>Irms+Table1[[#This Row],[Ripple Current (A)]]</f>
        <v>21.763999999999999</v>
      </c>
      <c r="F146">
        <f>Table1[[#This Row],[Vout]]*(Table1[[#This Row],[Imin]]+Table1[[#This Row],[Ripple Current (A)]])</f>
        <v>411.59999999999997</v>
      </c>
      <c r="G146" s="1">
        <f>Table1[[#This Row],[Pout]]/Frequency</f>
        <v>8.2319999999999997E-3</v>
      </c>
      <c r="H146" s="1">
        <f>Table1[[#This Row],[Duty]]/Frequency</f>
        <v>1.4E-5</v>
      </c>
      <c r="I146" s="1">
        <f>Table1[[#This Row],[Pout]]/Vin</f>
        <v>14</v>
      </c>
      <c r="J146" s="1">
        <f>Vin*Table1[[#This Row],[Idc]]*Table1[[#This Row],[Time On]]</f>
        <v>5.7623999999999991E-3</v>
      </c>
      <c r="K146" s="1">
        <f>Table1[[#This Row],[Energy/Cycle]]-Table1[[#This Row],[Edc]]</f>
        <v>2.4696000000000006E-3</v>
      </c>
      <c r="L146" s="1">
        <f>2*Table1[[#This Row],[E Capacitor]]/(Vin^2-(Vin-V_ripple)^2)</f>
        <v>3.3614291790729648E-3</v>
      </c>
      <c r="M146" s="1">
        <f>Table1[[#This Row],[Energy/Cycle]]-(Table1[[#This Row],[E Capacitor]]+Table1[[#This Row],[Edc]])</f>
        <v>0</v>
      </c>
      <c r="N14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9.1254554735640454</v>
      </c>
    </row>
    <row r="147" spans="1:14" x14ac:dyDescent="0.25">
      <c r="A147">
        <v>0.70499999999999996</v>
      </c>
      <c r="B147">
        <f t="shared" si="4"/>
        <v>20.726999999999997</v>
      </c>
      <c r="C147">
        <f>(Vin-Table1[[#This Row],[Vout]])*Table1[[#This Row],[Duty]]/(Frequency*Inductance)</f>
        <v>1.7469900000000005</v>
      </c>
      <c r="D147">
        <f>Irms-Table1[[#This Row],[Ripple Current (A)]]</f>
        <v>18.25301</v>
      </c>
      <c r="E147">
        <f>Irms+Table1[[#This Row],[Ripple Current (A)]]</f>
        <v>21.74699</v>
      </c>
      <c r="F147">
        <f>Table1[[#This Row],[Vout]]*(Table1[[#This Row],[Imin]]+Table1[[#This Row],[Ripple Current (A)]])</f>
        <v>414.53999999999996</v>
      </c>
      <c r="G147" s="1">
        <f>Table1[[#This Row],[Pout]]/Frequency</f>
        <v>8.2907999999999992E-3</v>
      </c>
      <c r="H147" s="1">
        <f>Table1[[#This Row],[Duty]]/Frequency</f>
        <v>1.4099999999999999E-5</v>
      </c>
      <c r="I147" s="1">
        <f>Table1[[#This Row],[Pout]]/Vin</f>
        <v>14.1</v>
      </c>
      <c r="J147" s="1">
        <f>Vin*Table1[[#This Row],[Idc]]*Table1[[#This Row],[Time On]]</f>
        <v>5.8450139999999991E-3</v>
      </c>
      <c r="K147" s="1">
        <f>Table1[[#This Row],[Energy/Cycle]]-Table1[[#This Row],[Edc]]</f>
        <v>2.4457860000000001E-3</v>
      </c>
      <c r="L147" s="1">
        <f>2*Table1[[#This Row],[E Capacitor]]/(Vin^2-(Vin-V_ripple)^2)</f>
        <v>3.3290153977033319E-3</v>
      </c>
      <c r="M147" s="1">
        <f>Table1[[#This Row],[Energy/Cycle]]-(Table1[[#This Row],[E Capacitor]]+Table1[[#This Row],[Edc]])</f>
        <v>0</v>
      </c>
      <c r="N14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9.0814528626138067</v>
      </c>
    </row>
    <row r="148" spans="1:14" x14ac:dyDescent="0.25">
      <c r="A148">
        <v>0.71</v>
      </c>
      <c r="B148">
        <f t="shared" si="4"/>
        <v>20.873999999999999</v>
      </c>
      <c r="C148">
        <f>(Vin-Table1[[#This Row],[Vout]])*Table1[[#This Row],[Duty]]/(Frequency*Inductance)</f>
        <v>1.72956</v>
      </c>
      <c r="D148">
        <f>Irms-Table1[[#This Row],[Ripple Current (A)]]</f>
        <v>18.270440000000001</v>
      </c>
      <c r="E148">
        <f>Irms+Table1[[#This Row],[Ripple Current (A)]]</f>
        <v>21.729559999999999</v>
      </c>
      <c r="F148">
        <f>Table1[[#This Row],[Vout]]*(Table1[[#This Row],[Imin]]+Table1[[#This Row],[Ripple Current (A)]])</f>
        <v>417.47999999999996</v>
      </c>
      <c r="G148" s="1">
        <f>Table1[[#This Row],[Pout]]/Frequency</f>
        <v>8.3495999999999987E-3</v>
      </c>
      <c r="H148" s="1">
        <f>Table1[[#This Row],[Duty]]/Frequency</f>
        <v>1.42E-5</v>
      </c>
      <c r="I148" s="1">
        <f>Table1[[#This Row],[Pout]]/Vin</f>
        <v>14.2</v>
      </c>
      <c r="J148" s="1">
        <f>Vin*Table1[[#This Row],[Idc]]*Table1[[#This Row],[Time On]]</f>
        <v>5.9282159999999992E-3</v>
      </c>
      <c r="K148" s="1">
        <f>Table1[[#This Row],[Energy/Cycle]]-Table1[[#This Row],[Edc]]</f>
        <v>2.4213839999999995E-3</v>
      </c>
      <c r="L148" s="1">
        <f>2*Table1[[#This Row],[E Capacitor]]/(Vin^2-(Vin-V_ripple)^2)</f>
        <v>3.2958012760529671E-3</v>
      </c>
      <c r="M148" s="1">
        <f>Table1[[#This Row],[Energy/Cycle]]-(Table1[[#This Row],[E Capacitor]]+Table1[[#This Row],[Edc]])</f>
        <v>0</v>
      </c>
      <c r="N14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9.0361518684032749</v>
      </c>
    </row>
    <row r="149" spans="1:14" x14ac:dyDescent="0.25">
      <c r="A149">
        <v>0.71499999999999997</v>
      </c>
      <c r="B149">
        <f t="shared" si="4"/>
        <v>21.020999999999997</v>
      </c>
      <c r="C149">
        <f>(Vin-Table1[[#This Row],[Vout]])*Table1[[#This Row],[Duty]]/(Frequency*Inductance)</f>
        <v>1.7117100000000005</v>
      </c>
      <c r="D149">
        <f>Irms-Table1[[#This Row],[Ripple Current (A)]]</f>
        <v>18.28829</v>
      </c>
      <c r="E149">
        <f>Irms+Table1[[#This Row],[Ripple Current (A)]]</f>
        <v>21.71171</v>
      </c>
      <c r="F149">
        <f>Table1[[#This Row],[Vout]]*(Table1[[#This Row],[Imin]]+Table1[[#This Row],[Ripple Current (A)]])</f>
        <v>420.41999999999996</v>
      </c>
      <c r="G149" s="1">
        <f>Table1[[#This Row],[Pout]]/Frequency</f>
        <v>8.4083999999999999E-3</v>
      </c>
      <c r="H149" s="1">
        <f>Table1[[#This Row],[Duty]]/Frequency</f>
        <v>1.4299999999999999E-5</v>
      </c>
      <c r="I149" s="1">
        <f>Table1[[#This Row],[Pout]]/Vin</f>
        <v>14.299999999999999</v>
      </c>
      <c r="J149" s="1">
        <f>Vin*Table1[[#This Row],[Idc]]*Table1[[#This Row],[Time On]]</f>
        <v>6.0120059999999986E-3</v>
      </c>
      <c r="K149" s="1">
        <f>Table1[[#This Row],[Energy/Cycle]]-Table1[[#This Row],[Edc]]</f>
        <v>2.3963940000000013E-3</v>
      </c>
      <c r="L149" s="1">
        <f>2*Table1[[#This Row],[E Capacitor]]/(Vin^2-(Vin-V_ripple)^2)</f>
        <v>3.2617868141218741E-3</v>
      </c>
      <c r="M149" s="1">
        <f>Table1[[#This Row],[Energy/Cycle]]-(Table1[[#This Row],[E Capacitor]]+Table1[[#This Row],[Edc]])</f>
        <v>0</v>
      </c>
      <c r="N14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8.9895325230008218</v>
      </c>
    </row>
    <row r="150" spans="1:14" x14ac:dyDescent="0.25">
      <c r="A150">
        <v>0.72</v>
      </c>
      <c r="B150">
        <f t="shared" si="4"/>
        <v>21.167999999999999</v>
      </c>
      <c r="C150">
        <f>(Vin-Table1[[#This Row],[Vout]])*Table1[[#This Row],[Duty]]/(Frequency*Inductance)</f>
        <v>1.6934399999999998</v>
      </c>
      <c r="D150">
        <f>Irms-Table1[[#This Row],[Ripple Current (A)]]</f>
        <v>18.306560000000001</v>
      </c>
      <c r="E150">
        <f>Irms+Table1[[#This Row],[Ripple Current (A)]]</f>
        <v>21.693439999999999</v>
      </c>
      <c r="F150">
        <f>Table1[[#This Row],[Vout]]*(Table1[[#This Row],[Imin]]+Table1[[#This Row],[Ripple Current (A)]])</f>
        <v>423.36</v>
      </c>
      <c r="G150" s="1">
        <f>Table1[[#This Row],[Pout]]/Frequency</f>
        <v>8.4672000000000011E-3</v>
      </c>
      <c r="H150" s="1">
        <f>Table1[[#This Row],[Duty]]/Frequency</f>
        <v>1.4399999999999999E-5</v>
      </c>
      <c r="I150" s="1">
        <f>Table1[[#This Row],[Pout]]/Vin</f>
        <v>14.4</v>
      </c>
      <c r="J150" s="1">
        <f>Vin*Table1[[#This Row],[Idc]]*Table1[[#This Row],[Time On]]</f>
        <v>6.0963839999999998E-3</v>
      </c>
      <c r="K150" s="1">
        <f>Table1[[#This Row],[Energy/Cycle]]-Table1[[#This Row],[Edc]]</f>
        <v>2.3708160000000013E-3</v>
      </c>
      <c r="L150" s="1">
        <f>2*Table1[[#This Row],[E Capacitor]]/(Vin^2-(Vin-V_ripple)^2)</f>
        <v>3.226972011910047E-3</v>
      </c>
      <c r="M150" s="1">
        <f>Table1[[#This Row],[Energy/Cycle]]-(Table1[[#This Row],[E Capacitor]]+Table1[[#This Row],[Edc]])</f>
        <v>0</v>
      </c>
      <c r="N15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8.941573834171253</v>
      </c>
    </row>
    <row r="151" spans="1:14" x14ac:dyDescent="0.25">
      <c r="A151">
        <v>0.72499999999999998</v>
      </c>
      <c r="B151">
        <f t="shared" si="4"/>
        <v>21.314999999999998</v>
      </c>
      <c r="C151">
        <f>(Vin-Table1[[#This Row],[Vout]])*Table1[[#This Row],[Duty]]/(Frequency*Inductance)</f>
        <v>1.6747500000000002</v>
      </c>
      <c r="D151">
        <f>Irms-Table1[[#This Row],[Ripple Current (A)]]</f>
        <v>18.32525</v>
      </c>
      <c r="E151">
        <f>Irms+Table1[[#This Row],[Ripple Current (A)]]</f>
        <v>21.67475</v>
      </c>
      <c r="F151">
        <f>Table1[[#This Row],[Vout]]*(Table1[[#This Row],[Imin]]+Table1[[#This Row],[Ripple Current (A)]])</f>
        <v>426.29999999999995</v>
      </c>
      <c r="G151" s="1">
        <f>Table1[[#This Row],[Pout]]/Frequency</f>
        <v>8.5259999999999989E-3</v>
      </c>
      <c r="H151" s="1">
        <f>Table1[[#This Row],[Duty]]/Frequency</f>
        <v>1.45E-5</v>
      </c>
      <c r="I151" s="1">
        <f>Table1[[#This Row],[Pout]]/Vin</f>
        <v>14.5</v>
      </c>
      <c r="J151" s="1">
        <f>Vin*Table1[[#This Row],[Idc]]*Table1[[#This Row],[Time On]]</f>
        <v>6.1813499999999995E-3</v>
      </c>
      <c r="K151" s="1">
        <f>Table1[[#This Row],[Energy/Cycle]]-Table1[[#This Row],[Edc]]</f>
        <v>2.3446499999999993E-3</v>
      </c>
      <c r="L151" s="1">
        <f>2*Table1[[#This Row],[E Capacitor]]/(Vin^2-(Vin-V_ripple)^2)</f>
        <v>3.1913568694174857E-3</v>
      </c>
      <c r="M151" s="1">
        <f>Table1[[#This Row],[Energy/Cycle]]-(Table1[[#This Row],[E Capacitor]]+Table1[[#This Row],[Edc]])</f>
        <v>0</v>
      </c>
      <c r="N15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8.8922537266467216</v>
      </c>
    </row>
    <row r="152" spans="1:14" x14ac:dyDescent="0.25">
      <c r="A152">
        <v>0.73</v>
      </c>
      <c r="B152">
        <f t="shared" si="4"/>
        <v>21.462</v>
      </c>
      <c r="C152">
        <f>(Vin-Table1[[#This Row],[Vout]])*Table1[[#This Row],[Duty]]/(Frequency*Inductance)</f>
        <v>1.65564</v>
      </c>
      <c r="D152">
        <f>Irms-Table1[[#This Row],[Ripple Current (A)]]</f>
        <v>18.344360000000002</v>
      </c>
      <c r="E152">
        <f>Irms+Table1[[#This Row],[Ripple Current (A)]]</f>
        <v>21.655639999999998</v>
      </c>
      <c r="F152">
        <f>Table1[[#This Row],[Vout]]*(Table1[[#This Row],[Imin]]+Table1[[#This Row],[Ripple Current (A)]])</f>
        <v>429.24</v>
      </c>
      <c r="G152" s="1">
        <f>Table1[[#This Row],[Pout]]/Frequency</f>
        <v>8.5848000000000001E-3</v>
      </c>
      <c r="H152" s="1">
        <f>Table1[[#This Row],[Duty]]/Frequency</f>
        <v>1.4599999999999999E-5</v>
      </c>
      <c r="I152" s="1">
        <f>Table1[[#This Row],[Pout]]/Vin</f>
        <v>14.600000000000001</v>
      </c>
      <c r="J152" s="1">
        <f>Vin*Table1[[#This Row],[Idc]]*Table1[[#This Row],[Time On]]</f>
        <v>6.2669039999999994E-3</v>
      </c>
      <c r="K152" s="1">
        <f>Table1[[#This Row],[Energy/Cycle]]-Table1[[#This Row],[Edc]]</f>
        <v>2.3178960000000007E-3</v>
      </c>
      <c r="L152" s="1">
        <f>2*Table1[[#This Row],[E Capacitor]]/(Vin^2-(Vin-V_ripple)^2)</f>
        <v>3.1549413866441972E-3</v>
      </c>
      <c r="M152" s="1">
        <f>Table1[[#This Row],[Energy/Cycle]]-(Table1[[#This Row],[E Capacitor]]+Table1[[#This Row],[Edc]])</f>
        <v>0</v>
      </c>
      <c r="N15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8.8415489785254273</v>
      </c>
    </row>
    <row r="153" spans="1:14" x14ac:dyDescent="0.25">
      <c r="A153">
        <v>0.73499999999999999</v>
      </c>
      <c r="B153">
        <f t="shared" si="4"/>
        <v>21.608999999999998</v>
      </c>
      <c r="C153">
        <f>(Vin-Table1[[#This Row],[Vout]])*Table1[[#This Row],[Duty]]/(Frequency*Inductance)</f>
        <v>1.6361100000000004</v>
      </c>
      <c r="D153">
        <f>Irms-Table1[[#This Row],[Ripple Current (A)]]</f>
        <v>18.363889999999998</v>
      </c>
      <c r="E153">
        <f>Irms+Table1[[#This Row],[Ripple Current (A)]]</f>
        <v>21.636110000000002</v>
      </c>
      <c r="F153">
        <f>Table1[[#This Row],[Vout]]*(Table1[[#This Row],[Imin]]+Table1[[#This Row],[Ripple Current (A)]])</f>
        <v>432.17999999999995</v>
      </c>
      <c r="G153" s="1">
        <f>Table1[[#This Row],[Pout]]/Frequency</f>
        <v>8.6435999999999995E-3</v>
      </c>
      <c r="H153" s="1">
        <f>Table1[[#This Row],[Duty]]/Frequency</f>
        <v>1.47E-5</v>
      </c>
      <c r="I153" s="1">
        <f>Table1[[#This Row],[Pout]]/Vin</f>
        <v>14.7</v>
      </c>
      <c r="J153" s="1">
        <f>Vin*Table1[[#This Row],[Idc]]*Table1[[#This Row],[Time On]]</f>
        <v>6.3530459999999993E-3</v>
      </c>
      <c r="K153" s="1">
        <f>Table1[[#This Row],[Energy/Cycle]]-Table1[[#This Row],[Edc]]</f>
        <v>2.2905540000000002E-3</v>
      </c>
      <c r="L153" s="1">
        <f>2*Table1[[#This Row],[E Capacitor]]/(Vin^2-(Vin-V_ripple)^2)</f>
        <v>3.1177255635901741E-3</v>
      </c>
      <c r="M153" s="1">
        <f>Table1[[#This Row],[Energy/Cycle]]-(Table1[[#This Row],[E Capacitor]]+Table1[[#This Row],[Edc]])</f>
        <v>0</v>
      </c>
      <c r="N15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8.7894351523084513</v>
      </c>
    </row>
    <row r="154" spans="1:14" x14ac:dyDescent="0.25">
      <c r="A154">
        <v>0.74</v>
      </c>
      <c r="B154">
        <f t="shared" si="4"/>
        <v>21.756</v>
      </c>
      <c r="C154">
        <f>(Vin-Table1[[#This Row],[Vout]])*Table1[[#This Row],[Duty]]/(Frequency*Inductance)</f>
        <v>1.6161599999999998</v>
      </c>
      <c r="D154">
        <f>Irms-Table1[[#This Row],[Ripple Current (A)]]</f>
        <v>18.383839999999999</v>
      </c>
      <c r="E154">
        <f>Irms+Table1[[#This Row],[Ripple Current (A)]]</f>
        <v>21.616160000000001</v>
      </c>
      <c r="F154">
        <f>Table1[[#This Row],[Vout]]*(Table1[[#This Row],[Imin]]+Table1[[#This Row],[Ripple Current (A)]])</f>
        <v>435.12</v>
      </c>
      <c r="G154" s="1">
        <f>Table1[[#This Row],[Pout]]/Frequency</f>
        <v>8.7024000000000008E-3</v>
      </c>
      <c r="H154" s="1">
        <f>Table1[[#This Row],[Duty]]/Frequency</f>
        <v>1.4800000000000001E-5</v>
      </c>
      <c r="I154" s="1">
        <f>Table1[[#This Row],[Pout]]/Vin</f>
        <v>14.8</v>
      </c>
      <c r="J154" s="1">
        <f>Vin*Table1[[#This Row],[Idc]]*Table1[[#This Row],[Time On]]</f>
        <v>6.4397760000000004E-3</v>
      </c>
      <c r="K154" s="1">
        <f>Table1[[#This Row],[Energy/Cycle]]-Table1[[#This Row],[Edc]]</f>
        <v>2.2626240000000004E-3</v>
      </c>
      <c r="L154" s="1">
        <f>2*Table1[[#This Row],[E Capacitor]]/(Vin^2-(Vin-V_ripple)^2)</f>
        <v>3.0797094002554207E-3</v>
      </c>
      <c r="M154" s="1">
        <f>Table1[[#This Row],[Energy/Cycle]]-(Table1[[#This Row],[E Capacitor]]+Table1[[#This Row],[Edc]])</f>
        <v>0</v>
      </c>
      <c r="N15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8.7358865200248559</v>
      </c>
    </row>
    <row r="155" spans="1:14" x14ac:dyDescent="0.25">
      <c r="A155">
        <v>0.745</v>
      </c>
      <c r="B155">
        <f t="shared" si="4"/>
        <v>21.902999999999999</v>
      </c>
      <c r="C155">
        <f>(Vin-Table1[[#This Row],[Vout]])*Table1[[#This Row],[Duty]]/(Frequency*Inductance)</f>
        <v>1.59579</v>
      </c>
      <c r="D155">
        <f>Irms-Table1[[#This Row],[Ripple Current (A)]]</f>
        <v>18.404209999999999</v>
      </c>
      <c r="E155">
        <f>Irms+Table1[[#This Row],[Ripple Current (A)]]</f>
        <v>21.595790000000001</v>
      </c>
      <c r="F155">
        <f>Table1[[#This Row],[Vout]]*(Table1[[#This Row],[Imin]]+Table1[[#This Row],[Ripple Current (A)]])</f>
        <v>438.05999999999995</v>
      </c>
      <c r="G155" s="1">
        <f>Table1[[#This Row],[Pout]]/Frequency</f>
        <v>8.7611999999999985E-3</v>
      </c>
      <c r="H155" s="1">
        <f>Table1[[#This Row],[Duty]]/Frequency</f>
        <v>1.49E-5</v>
      </c>
      <c r="I155" s="1">
        <f>Table1[[#This Row],[Pout]]/Vin</f>
        <v>14.899999999999999</v>
      </c>
      <c r="J155" s="1">
        <f>Vin*Table1[[#This Row],[Idc]]*Table1[[#This Row],[Time On]]</f>
        <v>6.5270939999999989E-3</v>
      </c>
      <c r="K155" s="1">
        <f>Table1[[#This Row],[Energy/Cycle]]-Table1[[#This Row],[Edc]]</f>
        <v>2.2341059999999996E-3</v>
      </c>
      <c r="L155" s="1">
        <f>2*Table1[[#This Row],[E Capacitor]]/(Vin^2-(Vin-V_ripple)^2)</f>
        <v>3.0408928966399341E-3</v>
      </c>
      <c r="M155" s="1">
        <f>Table1[[#This Row],[Energy/Cycle]]-(Table1[[#This Row],[E Capacitor]]+Table1[[#This Row],[Edc]])</f>
        <v>0</v>
      </c>
      <c r="N15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8.6808759818262864</v>
      </c>
    </row>
    <row r="156" spans="1:14" x14ac:dyDescent="0.25">
      <c r="A156">
        <v>0.75</v>
      </c>
      <c r="B156">
        <f t="shared" si="4"/>
        <v>22.049999999999997</v>
      </c>
      <c r="C156">
        <f>(Vin-Table1[[#This Row],[Vout]])*Table1[[#This Row],[Duty]]/(Frequency*Inductance)</f>
        <v>1.5750000000000004</v>
      </c>
      <c r="D156">
        <f>Irms-Table1[[#This Row],[Ripple Current (A)]]</f>
        <v>18.425000000000001</v>
      </c>
      <c r="E156">
        <f>Irms+Table1[[#This Row],[Ripple Current (A)]]</f>
        <v>21.574999999999999</v>
      </c>
      <c r="F156">
        <f>Table1[[#This Row],[Vout]]*(Table1[[#This Row],[Imin]]+Table1[[#This Row],[Ripple Current (A)]])</f>
        <v>440.99999999999994</v>
      </c>
      <c r="G156" s="1">
        <f>Table1[[#This Row],[Pout]]/Frequency</f>
        <v>8.8199999999999997E-3</v>
      </c>
      <c r="H156" s="1">
        <f>Table1[[#This Row],[Duty]]/Frequency</f>
        <v>1.5E-5</v>
      </c>
      <c r="I156" s="1">
        <f>Table1[[#This Row],[Pout]]/Vin</f>
        <v>14.999999999999998</v>
      </c>
      <c r="J156" s="1">
        <f>Vin*Table1[[#This Row],[Idc]]*Table1[[#This Row],[Time On]]</f>
        <v>6.6149999999999994E-3</v>
      </c>
      <c r="K156" s="1">
        <f>Table1[[#This Row],[Energy/Cycle]]-Table1[[#This Row],[Edc]]</f>
        <v>2.2050000000000004E-3</v>
      </c>
      <c r="L156" s="1">
        <f>2*Table1[[#This Row],[E Capacitor]]/(Vin^2-(Vin-V_ripple)^2)</f>
        <v>3.0012760527437185E-3</v>
      </c>
      <c r="M156" s="1">
        <f>Table1[[#This Row],[Energy/Cycle]]-(Table1[[#This Row],[E Capacitor]]+Table1[[#This Row],[Edc]])</f>
        <v>0</v>
      </c>
      <c r="N15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8.6243749773534315</v>
      </c>
    </row>
    <row r="157" spans="1:14" x14ac:dyDescent="0.25">
      <c r="A157">
        <v>0.755</v>
      </c>
      <c r="B157">
        <f t="shared" si="4"/>
        <v>22.196999999999999</v>
      </c>
      <c r="C157">
        <f>(Vin-Table1[[#This Row],[Vout]])*Table1[[#This Row],[Duty]]/(Frequency*Inductance)</f>
        <v>1.55379</v>
      </c>
      <c r="D157">
        <f>Irms-Table1[[#This Row],[Ripple Current (A)]]</f>
        <v>18.446210000000001</v>
      </c>
      <c r="E157">
        <f>Irms+Table1[[#This Row],[Ripple Current (A)]]</f>
        <v>21.553789999999999</v>
      </c>
      <c r="F157">
        <f>Table1[[#This Row],[Vout]]*(Table1[[#This Row],[Imin]]+Table1[[#This Row],[Ripple Current (A)]])</f>
        <v>443.94</v>
      </c>
      <c r="G157" s="1">
        <f>Table1[[#This Row],[Pout]]/Frequency</f>
        <v>8.8787999999999992E-3</v>
      </c>
      <c r="H157" s="1">
        <f>Table1[[#This Row],[Duty]]/Frequency</f>
        <v>1.5099999999999999E-5</v>
      </c>
      <c r="I157" s="1">
        <f>Table1[[#This Row],[Pout]]/Vin</f>
        <v>15.100000000000001</v>
      </c>
      <c r="J157" s="1">
        <f>Vin*Table1[[#This Row],[Idc]]*Table1[[#This Row],[Time On]]</f>
        <v>6.7034939999999999E-3</v>
      </c>
      <c r="K157" s="1">
        <f>Table1[[#This Row],[Energy/Cycle]]-Table1[[#This Row],[Edc]]</f>
        <v>2.1753059999999992E-3</v>
      </c>
      <c r="L157" s="1">
        <f>2*Table1[[#This Row],[E Capacitor]]/(Vin^2-(Vin-V_ripple)^2)</f>
        <v>2.9608588685667678E-3</v>
      </c>
      <c r="M157" s="1">
        <f>Table1[[#This Row],[Energy/Cycle]]-(Table1[[#This Row],[E Capacitor]]+Table1[[#This Row],[Edc]])</f>
        <v>0</v>
      </c>
      <c r="N15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8.5663533890857853</v>
      </c>
    </row>
    <row r="158" spans="1:14" x14ac:dyDescent="0.25">
      <c r="A158">
        <v>0.76</v>
      </c>
      <c r="B158">
        <f t="shared" si="4"/>
        <v>22.343999999999998</v>
      </c>
      <c r="C158">
        <f>(Vin-Table1[[#This Row],[Vout]])*Table1[[#This Row],[Duty]]/(Frequency*Inductance)</f>
        <v>1.5321600000000004</v>
      </c>
      <c r="D158">
        <f>Irms-Table1[[#This Row],[Ripple Current (A)]]</f>
        <v>18.467839999999999</v>
      </c>
      <c r="E158">
        <f>Irms+Table1[[#This Row],[Ripple Current (A)]]</f>
        <v>21.532160000000001</v>
      </c>
      <c r="F158">
        <f>Table1[[#This Row],[Vout]]*(Table1[[#This Row],[Imin]]+Table1[[#This Row],[Ripple Current (A)]])</f>
        <v>446.87999999999994</v>
      </c>
      <c r="G158" s="1">
        <f>Table1[[#This Row],[Pout]]/Frequency</f>
        <v>8.9375999999999987E-3</v>
      </c>
      <c r="H158" s="1">
        <f>Table1[[#This Row],[Duty]]/Frequency</f>
        <v>1.52E-5</v>
      </c>
      <c r="I158" s="1">
        <f>Table1[[#This Row],[Pout]]/Vin</f>
        <v>15.2</v>
      </c>
      <c r="J158" s="1">
        <f>Vin*Table1[[#This Row],[Idc]]*Table1[[#This Row],[Time On]]</f>
        <v>6.792575999999999E-3</v>
      </c>
      <c r="K158" s="1">
        <f>Table1[[#This Row],[Energy/Cycle]]-Table1[[#This Row],[Edc]]</f>
        <v>2.1450239999999997E-3</v>
      </c>
      <c r="L158" s="1">
        <f>2*Table1[[#This Row],[E Capacitor]]/(Vin^2-(Vin-V_ripple)^2)</f>
        <v>2.9196413441090882E-3</v>
      </c>
      <c r="M158" s="1">
        <f>Table1[[#This Row],[Energy/Cycle]]-(Table1[[#This Row],[E Capacitor]]+Table1[[#This Row],[Edc]])</f>
        <v>0</v>
      </c>
      <c r="N15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8.506779436781466</v>
      </c>
    </row>
    <row r="159" spans="1:14" x14ac:dyDescent="0.25">
      <c r="A159">
        <v>0.76500000000000001</v>
      </c>
      <c r="B159">
        <f t="shared" si="4"/>
        <v>22.491</v>
      </c>
      <c r="C159">
        <f>(Vin-Table1[[#This Row],[Vout]])*Table1[[#This Row],[Duty]]/(Frequency*Inductance)</f>
        <v>1.5101099999999998</v>
      </c>
      <c r="D159">
        <f>Irms-Table1[[#This Row],[Ripple Current (A)]]</f>
        <v>18.489889999999999</v>
      </c>
      <c r="E159">
        <f>Irms+Table1[[#This Row],[Ripple Current (A)]]</f>
        <v>21.510110000000001</v>
      </c>
      <c r="F159">
        <f>Table1[[#This Row],[Vout]]*(Table1[[#This Row],[Imin]]+Table1[[#This Row],[Ripple Current (A)]])</f>
        <v>449.82</v>
      </c>
      <c r="G159" s="1">
        <f>Table1[[#This Row],[Pout]]/Frequency</f>
        <v>8.9963999999999999E-3</v>
      </c>
      <c r="H159" s="1">
        <f>Table1[[#This Row],[Duty]]/Frequency</f>
        <v>1.5299999999999999E-5</v>
      </c>
      <c r="I159" s="1">
        <f>Table1[[#This Row],[Pout]]/Vin</f>
        <v>15.3</v>
      </c>
      <c r="J159" s="1">
        <f>Vin*Table1[[#This Row],[Idc]]*Table1[[#This Row],[Time On]]</f>
        <v>6.8822459999999998E-3</v>
      </c>
      <c r="K159" s="1">
        <f>Table1[[#This Row],[Energy/Cycle]]-Table1[[#This Row],[Edc]]</f>
        <v>2.114154E-3</v>
      </c>
      <c r="L159" s="1">
        <f>2*Table1[[#This Row],[E Capacitor]]/(Vin^2-(Vin-V_ripple)^2)</f>
        <v>2.8776234793706766E-3</v>
      </c>
      <c r="M159" s="1">
        <f>Table1[[#This Row],[Energy/Cycle]]-(Table1[[#This Row],[E Capacitor]]+Table1[[#This Row],[Edc]])</f>
        <v>0</v>
      </c>
      <c r="N15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8.4456195619927428</v>
      </c>
    </row>
    <row r="160" spans="1:14" x14ac:dyDescent="0.25">
      <c r="A160">
        <v>0.77</v>
      </c>
      <c r="B160">
        <f t="shared" si="4"/>
        <v>22.637999999999998</v>
      </c>
      <c r="C160">
        <f>(Vin-Table1[[#This Row],[Vout]])*Table1[[#This Row],[Duty]]/(Frequency*Inductance)</f>
        <v>1.4876400000000005</v>
      </c>
      <c r="D160">
        <f>Irms-Table1[[#This Row],[Ripple Current (A)]]</f>
        <v>18.512360000000001</v>
      </c>
      <c r="E160">
        <f>Irms+Table1[[#This Row],[Ripple Current (A)]]</f>
        <v>21.487639999999999</v>
      </c>
      <c r="F160">
        <f>Table1[[#This Row],[Vout]]*(Table1[[#This Row],[Imin]]+Table1[[#This Row],[Ripple Current (A)]])</f>
        <v>452.76</v>
      </c>
      <c r="G160" s="1">
        <f>Table1[[#This Row],[Pout]]/Frequency</f>
        <v>9.0551999999999994E-3</v>
      </c>
      <c r="H160" s="1">
        <f>Table1[[#This Row],[Duty]]/Frequency</f>
        <v>1.5400000000000002E-5</v>
      </c>
      <c r="I160" s="1">
        <f>Table1[[#This Row],[Pout]]/Vin</f>
        <v>15.4</v>
      </c>
      <c r="J160" s="1">
        <f>Vin*Table1[[#This Row],[Idc]]*Table1[[#This Row],[Time On]]</f>
        <v>6.9725040000000009E-3</v>
      </c>
      <c r="K160" s="1">
        <f>Table1[[#This Row],[Energy/Cycle]]-Table1[[#This Row],[Edc]]</f>
        <v>2.0826959999999985E-3</v>
      </c>
      <c r="L160" s="1">
        <f>2*Table1[[#This Row],[E Capacitor]]/(Vin^2-(Vin-V_ripple)^2)</f>
        <v>2.8348052743515308E-3</v>
      </c>
      <c r="M160" s="1">
        <f>Table1[[#This Row],[Energy/Cycle]]-(Table1[[#This Row],[E Capacitor]]+Table1[[#This Row],[Edc]])</f>
        <v>0</v>
      </c>
      <c r="N16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8.3828383015024226</v>
      </c>
    </row>
    <row r="161" spans="1:14" x14ac:dyDescent="0.25">
      <c r="A161">
        <v>0.77500000000000002</v>
      </c>
      <c r="B161">
        <f t="shared" si="4"/>
        <v>22.785</v>
      </c>
      <c r="C161">
        <f>(Vin-Table1[[#This Row],[Vout]])*Table1[[#This Row],[Duty]]/(Frequency*Inductance)</f>
        <v>1.4647499999999998</v>
      </c>
      <c r="D161">
        <f>Irms-Table1[[#This Row],[Ripple Current (A)]]</f>
        <v>18.535250000000001</v>
      </c>
      <c r="E161">
        <f>Irms+Table1[[#This Row],[Ripple Current (A)]]</f>
        <v>21.464749999999999</v>
      </c>
      <c r="F161">
        <f>Table1[[#This Row],[Vout]]*(Table1[[#This Row],[Imin]]+Table1[[#This Row],[Ripple Current (A)]])</f>
        <v>455.7</v>
      </c>
      <c r="G161" s="1">
        <f>Table1[[#This Row],[Pout]]/Frequency</f>
        <v>9.1140000000000006E-3</v>
      </c>
      <c r="H161" s="1">
        <f>Table1[[#This Row],[Duty]]/Frequency</f>
        <v>1.5500000000000001E-5</v>
      </c>
      <c r="I161" s="1">
        <f>Table1[[#This Row],[Pout]]/Vin</f>
        <v>15.5</v>
      </c>
      <c r="J161" s="1">
        <f>Vin*Table1[[#This Row],[Idc]]*Table1[[#This Row],[Time On]]</f>
        <v>7.0633500000000004E-3</v>
      </c>
      <c r="K161" s="1">
        <f>Table1[[#This Row],[Energy/Cycle]]-Table1[[#This Row],[Edc]]</f>
        <v>2.0506500000000002E-3</v>
      </c>
      <c r="L161" s="1">
        <f>2*Table1[[#This Row],[E Capacitor]]/(Vin^2-(Vin-V_ripple)^2)</f>
        <v>2.7911867290516578E-3</v>
      </c>
      <c r="M161" s="1">
        <f>Table1[[#This Row],[Energy/Cycle]]-(Table1[[#This Row],[E Capacitor]]+Table1[[#This Row],[Edc]])</f>
        <v>0</v>
      </c>
      <c r="N16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8.3183981483629115</v>
      </c>
    </row>
    <row r="162" spans="1:14" x14ac:dyDescent="0.25">
      <c r="A162">
        <v>0.78</v>
      </c>
      <c r="B162">
        <f t="shared" si="4"/>
        <v>22.931999999999999</v>
      </c>
      <c r="C162">
        <f>(Vin-Table1[[#This Row],[Vout]])*Table1[[#This Row],[Duty]]/(Frequency*Inductance)</f>
        <v>1.4414400000000003</v>
      </c>
      <c r="D162">
        <f>Irms-Table1[[#This Row],[Ripple Current (A)]]</f>
        <v>18.55856</v>
      </c>
      <c r="E162">
        <f>Irms+Table1[[#This Row],[Ripple Current (A)]]</f>
        <v>21.44144</v>
      </c>
      <c r="F162">
        <f>Table1[[#This Row],[Vout]]*(Table1[[#This Row],[Imin]]+Table1[[#This Row],[Ripple Current (A)]])</f>
        <v>458.64</v>
      </c>
      <c r="G162" s="1">
        <f>Table1[[#This Row],[Pout]]/Frequency</f>
        <v>9.1728000000000001E-3</v>
      </c>
      <c r="H162" s="1">
        <f>Table1[[#This Row],[Duty]]/Frequency</f>
        <v>1.56E-5</v>
      </c>
      <c r="I162" s="1">
        <f>Table1[[#This Row],[Pout]]/Vin</f>
        <v>15.6</v>
      </c>
      <c r="J162" s="1">
        <f>Vin*Table1[[#This Row],[Idc]]*Table1[[#This Row],[Time On]]</f>
        <v>7.154784E-3</v>
      </c>
      <c r="K162" s="1">
        <f>Table1[[#This Row],[Energy/Cycle]]-Table1[[#This Row],[Edc]]</f>
        <v>2.0180160000000001E-3</v>
      </c>
      <c r="L162" s="1">
        <f>2*Table1[[#This Row],[E Capacitor]]/(Vin^2-(Vin-V_ripple)^2)</f>
        <v>2.7467678434710506E-3</v>
      </c>
      <c r="M162" s="1">
        <f>Table1[[#This Row],[Energy/Cycle]]-(Table1[[#This Row],[E Capacitor]]+Table1[[#This Row],[Edc]])</f>
        <v>0</v>
      </c>
      <c r="N16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8.2522593990290911</v>
      </c>
    </row>
    <row r="163" spans="1:14" x14ac:dyDescent="0.25">
      <c r="A163">
        <v>0.78500000000000003</v>
      </c>
      <c r="B163">
        <f t="shared" si="4"/>
        <v>23.079000000000001</v>
      </c>
      <c r="C163">
        <f>(Vin-Table1[[#This Row],[Vout]])*Table1[[#This Row],[Duty]]/(Frequency*Inductance)</f>
        <v>1.4177099999999998</v>
      </c>
      <c r="D163">
        <f>Irms-Table1[[#This Row],[Ripple Current (A)]]</f>
        <v>18.58229</v>
      </c>
      <c r="E163">
        <f>Irms+Table1[[#This Row],[Ripple Current (A)]]</f>
        <v>21.41771</v>
      </c>
      <c r="F163">
        <f>Table1[[#This Row],[Vout]]*(Table1[[#This Row],[Imin]]+Table1[[#This Row],[Ripple Current (A)]])</f>
        <v>461.58000000000004</v>
      </c>
      <c r="G163" s="1">
        <f>Table1[[#This Row],[Pout]]/Frequency</f>
        <v>9.2316000000000013E-3</v>
      </c>
      <c r="H163" s="1">
        <f>Table1[[#This Row],[Duty]]/Frequency</f>
        <v>1.5700000000000002E-5</v>
      </c>
      <c r="I163" s="1">
        <f>Table1[[#This Row],[Pout]]/Vin</f>
        <v>15.700000000000003</v>
      </c>
      <c r="J163" s="1">
        <f>Vin*Table1[[#This Row],[Idc]]*Table1[[#This Row],[Time On]]</f>
        <v>7.2468060000000015E-3</v>
      </c>
      <c r="K163" s="1">
        <f>Table1[[#This Row],[Energy/Cycle]]-Table1[[#This Row],[Edc]]</f>
        <v>1.9847939999999998E-3</v>
      </c>
      <c r="L163" s="1">
        <f>2*Table1[[#This Row],[E Capacitor]]/(Vin^2-(Vin-V_ripple)^2)</f>
        <v>2.7015486176097114E-3</v>
      </c>
      <c r="M163" s="1">
        <f>Table1[[#This Row],[Energy/Cycle]]-(Table1[[#This Row],[E Capacitor]]+Table1[[#This Row],[Edc]])</f>
        <v>0</v>
      </c>
      <c r="N16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8.1843799848528835</v>
      </c>
    </row>
    <row r="164" spans="1:14" x14ac:dyDescent="0.25">
      <c r="A164">
        <v>0.79</v>
      </c>
      <c r="B164">
        <f t="shared" si="4"/>
        <v>23.225999999999999</v>
      </c>
      <c r="C164">
        <f>(Vin-Table1[[#This Row],[Vout]])*Table1[[#This Row],[Duty]]/(Frequency*Inductance)</f>
        <v>1.3935600000000001</v>
      </c>
      <c r="D164">
        <f>Irms-Table1[[#This Row],[Ripple Current (A)]]</f>
        <v>18.606439999999999</v>
      </c>
      <c r="E164">
        <f>Irms+Table1[[#This Row],[Ripple Current (A)]]</f>
        <v>21.393560000000001</v>
      </c>
      <c r="F164">
        <f>Table1[[#This Row],[Vout]]*(Table1[[#This Row],[Imin]]+Table1[[#This Row],[Ripple Current (A)]])</f>
        <v>464.52</v>
      </c>
      <c r="G164" s="1">
        <f>Table1[[#This Row],[Pout]]/Frequency</f>
        <v>9.290399999999999E-3</v>
      </c>
      <c r="H164" s="1">
        <f>Table1[[#This Row],[Duty]]/Frequency</f>
        <v>1.5800000000000001E-5</v>
      </c>
      <c r="I164" s="1">
        <f>Table1[[#This Row],[Pout]]/Vin</f>
        <v>15.8</v>
      </c>
      <c r="J164" s="1">
        <f>Vin*Table1[[#This Row],[Idc]]*Table1[[#This Row],[Time On]]</f>
        <v>7.3394160000000005E-3</v>
      </c>
      <c r="K164" s="1">
        <f>Table1[[#This Row],[Energy/Cycle]]-Table1[[#This Row],[Edc]]</f>
        <v>1.9509839999999985E-3</v>
      </c>
      <c r="L164" s="1">
        <f>2*Table1[[#This Row],[E Capacitor]]/(Vin^2-(Vin-V_ripple)^2)</f>
        <v>2.6555290514676394E-3</v>
      </c>
      <c r="M164" s="1">
        <f>Table1[[#This Row],[Energy/Cycle]]-(Table1[[#This Row],[E Capacitor]]+Table1[[#This Row],[Edc]])</f>
        <v>0</v>
      </c>
      <c r="N16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8.1147152859451577</v>
      </c>
    </row>
    <row r="165" spans="1:14" x14ac:dyDescent="0.25">
      <c r="A165">
        <v>0.79500000000000004</v>
      </c>
      <c r="B165">
        <f t="shared" si="4"/>
        <v>23.373000000000001</v>
      </c>
      <c r="C165">
        <f>(Vin-Table1[[#This Row],[Vout]])*Table1[[#This Row],[Duty]]/(Frequency*Inductance)</f>
        <v>1.3689899999999995</v>
      </c>
      <c r="D165">
        <f>Irms-Table1[[#This Row],[Ripple Current (A)]]</f>
        <v>18.63101</v>
      </c>
      <c r="E165">
        <f>Irms+Table1[[#This Row],[Ripple Current (A)]]</f>
        <v>21.36899</v>
      </c>
      <c r="F165">
        <f>Table1[[#This Row],[Vout]]*(Table1[[#This Row],[Imin]]+Table1[[#This Row],[Ripple Current (A)]])</f>
        <v>467.46000000000004</v>
      </c>
      <c r="G165" s="1">
        <f>Table1[[#This Row],[Pout]]/Frequency</f>
        <v>9.3492000000000002E-3</v>
      </c>
      <c r="H165" s="1">
        <f>Table1[[#This Row],[Duty]]/Frequency</f>
        <v>1.59E-5</v>
      </c>
      <c r="I165" s="1">
        <f>Table1[[#This Row],[Pout]]/Vin</f>
        <v>15.900000000000002</v>
      </c>
      <c r="J165" s="1">
        <f>Vin*Table1[[#This Row],[Idc]]*Table1[[#This Row],[Time On]]</f>
        <v>7.4326140000000006E-3</v>
      </c>
      <c r="K165" s="1">
        <f>Table1[[#This Row],[Energy/Cycle]]-Table1[[#This Row],[Edc]]</f>
        <v>1.9165859999999996E-3</v>
      </c>
      <c r="L165" s="1">
        <f>2*Table1[[#This Row],[E Capacitor]]/(Vin^2-(Vin-V_ripple)^2)</f>
        <v>2.6087091450448388E-3</v>
      </c>
      <c r="M165" s="1">
        <f>Table1[[#This Row],[Energy/Cycle]]-(Table1[[#This Row],[E Capacitor]]+Table1[[#This Row],[Edc]])</f>
        <v>0</v>
      </c>
      <c r="N16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8.0432179251014642</v>
      </c>
    </row>
    <row r="166" spans="1:14" x14ac:dyDescent="0.25">
      <c r="A166">
        <v>0.8</v>
      </c>
      <c r="B166">
        <f t="shared" si="4"/>
        <v>23.52</v>
      </c>
      <c r="C166">
        <f>(Vin-Table1[[#This Row],[Vout]])*Table1[[#This Row],[Duty]]/(Frequency*Inductance)</f>
        <v>1.3440000000000001</v>
      </c>
      <c r="D166">
        <f>Irms-Table1[[#This Row],[Ripple Current (A)]]</f>
        <v>18.655999999999999</v>
      </c>
      <c r="E166">
        <f>Irms+Table1[[#This Row],[Ripple Current (A)]]</f>
        <v>21.344000000000001</v>
      </c>
      <c r="F166">
        <f>Table1[[#This Row],[Vout]]*(Table1[[#This Row],[Imin]]+Table1[[#This Row],[Ripple Current (A)]])</f>
        <v>470.4</v>
      </c>
      <c r="G166" s="1">
        <f>Table1[[#This Row],[Pout]]/Frequency</f>
        <v>9.4079999999999997E-3</v>
      </c>
      <c r="H166" s="1">
        <f>Table1[[#This Row],[Duty]]/Frequency</f>
        <v>1.5999999999999999E-5</v>
      </c>
      <c r="I166" s="1">
        <f>Table1[[#This Row],[Pout]]/Vin</f>
        <v>16</v>
      </c>
      <c r="J166" s="1">
        <f>Vin*Table1[[#This Row],[Idc]]*Table1[[#This Row],[Time On]]</f>
        <v>7.5263999999999991E-3</v>
      </c>
      <c r="K166" s="1">
        <f>Table1[[#This Row],[Energy/Cycle]]-Table1[[#This Row],[Edc]]</f>
        <v>1.8816000000000006E-3</v>
      </c>
      <c r="L166" s="1">
        <f>2*Table1[[#This Row],[E Capacitor]]/(Vin^2-(Vin-V_ripple)^2)</f>
        <v>2.5610888983413067E-3</v>
      </c>
      <c r="M166" s="1">
        <f>Table1[[#This Row],[Energy/Cycle]]-(Table1[[#This Row],[E Capacitor]]+Table1[[#This Row],[Edc]])</f>
        <v>0</v>
      </c>
      <c r="N16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7.9698375391221106</v>
      </c>
    </row>
    <row r="167" spans="1:14" x14ac:dyDescent="0.25">
      <c r="A167">
        <v>0.80500000000000005</v>
      </c>
      <c r="B167">
        <f t="shared" ref="B167:B198" si="5">A167*Vin</f>
        <v>23.667000000000002</v>
      </c>
      <c r="C167">
        <f>(Vin-Table1[[#This Row],[Vout]])*Table1[[#This Row],[Duty]]/(Frequency*Inductance)</f>
        <v>1.3185899999999995</v>
      </c>
      <c r="D167">
        <f>Irms-Table1[[#This Row],[Ripple Current (A)]]</f>
        <v>18.68141</v>
      </c>
      <c r="E167">
        <f>Irms+Table1[[#This Row],[Ripple Current (A)]]</f>
        <v>21.31859</v>
      </c>
      <c r="F167">
        <f>Table1[[#This Row],[Vout]]*(Table1[[#This Row],[Imin]]+Table1[[#This Row],[Ripple Current (A)]])</f>
        <v>473.34000000000003</v>
      </c>
      <c r="G167" s="1">
        <f>Table1[[#This Row],[Pout]]/Frequency</f>
        <v>9.4668000000000009E-3</v>
      </c>
      <c r="H167" s="1">
        <f>Table1[[#This Row],[Duty]]/Frequency</f>
        <v>1.6100000000000002E-5</v>
      </c>
      <c r="I167" s="1">
        <f>Table1[[#This Row],[Pout]]/Vin</f>
        <v>16.100000000000001</v>
      </c>
      <c r="J167" s="1">
        <f>Vin*Table1[[#This Row],[Idc]]*Table1[[#This Row],[Time On]]</f>
        <v>7.6207740000000012E-3</v>
      </c>
      <c r="K167" s="1">
        <f>Table1[[#This Row],[Energy/Cycle]]-Table1[[#This Row],[Edc]]</f>
        <v>1.8460259999999997E-3</v>
      </c>
      <c r="L167" s="1">
        <f>2*Table1[[#This Row],[E Capacitor]]/(Vin^2-(Vin-V_ripple)^2)</f>
        <v>2.51266831135704E-3</v>
      </c>
      <c r="M167" s="1">
        <f>Table1[[#This Row],[Energy/Cycle]]-(Table1[[#This Row],[E Capacitor]]+Table1[[#This Row],[Edc]])</f>
        <v>0</v>
      </c>
      <c r="N16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7.8945205244223979</v>
      </c>
    </row>
    <row r="168" spans="1:14" x14ac:dyDescent="0.25">
      <c r="A168">
        <v>0.81</v>
      </c>
      <c r="B168">
        <f t="shared" si="5"/>
        <v>23.814</v>
      </c>
      <c r="C168">
        <f>(Vin-Table1[[#This Row],[Vout]])*Table1[[#This Row],[Duty]]/(Frequency*Inductance)</f>
        <v>1.2927599999999999</v>
      </c>
      <c r="D168">
        <f>Irms-Table1[[#This Row],[Ripple Current (A)]]</f>
        <v>18.707239999999999</v>
      </c>
      <c r="E168">
        <f>Irms+Table1[[#This Row],[Ripple Current (A)]]</f>
        <v>21.292760000000001</v>
      </c>
      <c r="F168">
        <f>Table1[[#This Row],[Vout]]*(Table1[[#This Row],[Imin]]+Table1[[#This Row],[Ripple Current (A)]])</f>
        <v>476.28</v>
      </c>
      <c r="G168" s="1">
        <f>Table1[[#This Row],[Pout]]/Frequency</f>
        <v>9.5255999999999987E-3</v>
      </c>
      <c r="H168" s="1">
        <f>Table1[[#This Row],[Duty]]/Frequency</f>
        <v>1.6200000000000001E-5</v>
      </c>
      <c r="I168" s="1">
        <f>Table1[[#This Row],[Pout]]/Vin</f>
        <v>16.2</v>
      </c>
      <c r="J168" s="1">
        <f>Vin*Table1[[#This Row],[Idc]]*Table1[[#This Row],[Time On]]</f>
        <v>7.7157359999999999E-3</v>
      </c>
      <c r="K168" s="1">
        <f>Table1[[#This Row],[Energy/Cycle]]-Table1[[#This Row],[Edc]]</f>
        <v>1.8098639999999987E-3</v>
      </c>
      <c r="L168" s="1">
        <f>2*Table1[[#This Row],[E Capacitor]]/(Vin^2-(Vin-V_ripple)^2)</f>
        <v>2.4634473840920417E-3</v>
      </c>
      <c r="M168" s="1">
        <f>Table1[[#This Row],[Energy/Cycle]]-(Table1[[#This Row],[E Capacitor]]+Table1[[#This Row],[Edc]])</f>
        <v>0</v>
      </c>
      <c r="N16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7.8172097533101912</v>
      </c>
    </row>
    <row r="169" spans="1:14" x14ac:dyDescent="0.25">
      <c r="A169">
        <v>0.81499999999999995</v>
      </c>
      <c r="B169">
        <f t="shared" si="5"/>
        <v>23.960999999999999</v>
      </c>
      <c r="C169">
        <f>(Vin-Table1[[#This Row],[Vout]])*Table1[[#This Row],[Duty]]/(Frequency*Inductance)</f>
        <v>1.2665100000000002</v>
      </c>
      <c r="D169">
        <f>Irms-Table1[[#This Row],[Ripple Current (A)]]</f>
        <v>18.73349</v>
      </c>
      <c r="E169">
        <f>Irms+Table1[[#This Row],[Ripple Current (A)]]</f>
        <v>21.26651</v>
      </c>
      <c r="F169">
        <f>Table1[[#This Row],[Vout]]*(Table1[[#This Row],[Imin]]+Table1[[#This Row],[Ripple Current (A)]])</f>
        <v>479.21999999999997</v>
      </c>
      <c r="G169" s="1">
        <f>Table1[[#This Row],[Pout]]/Frequency</f>
        <v>9.5843999999999999E-3</v>
      </c>
      <c r="H169" s="1">
        <f>Table1[[#This Row],[Duty]]/Frequency</f>
        <v>1.63E-5</v>
      </c>
      <c r="I169" s="1">
        <f>Table1[[#This Row],[Pout]]/Vin</f>
        <v>16.3</v>
      </c>
      <c r="J169" s="1">
        <f>Vin*Table1[[#This Row],[Idc]]*Table1[[#This Row],[Time On]]</f>
        <v>7.8112859999999998E-3</v>
      </c>
      <c r="K169" s="1">
        <f>Table1[[#This Row],[Energy/Cycle]]-Table1[[#This Row],[Edc]]</f>
        <v>1.7731140000000001E-3</v>
      </c>
      <c r="L169" s="1">
        <f>2*Table1[[#This Row],[E Capacitor]]/(Vin^2-(Vin-V_ripple)^2)</f>
        <v>2.4134261165463149E-3</v>
      </c>
      <c r="M169" s="1">
        <f>Table1[[#This Row],[Energy/Cycle]]-(Table1[[#This Row],[E Capacitor]]+Table1[[#This Row],[Edc]])</f>
        <v>0</v>
      </c>
      <c r="N16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7.7378442566867109</v>
      </c>
    </row>
    <row r="170" spans="1:14" x14ac:dyDescent="0.25">
      <c r="A170">
        <v>0.82</v>
      </c>
      <c r="B170">
        <f t="shared" si="5"/>
        <v>24.107999999999997</v>
      </c>
      <c r="C170">
        <f>(Vin-Table1[[#This Row],[Vout]])*Table1[[#This Row],[Duty]]/(Frequency*Inductance)</f>
        <v>1.2398400000000003</v>
      </c>
      <c r="D170">
        <f>Irms-Table1[[#This Row],[Ripple Current (A)]]</f>
        <v>18.760159999999999</v>
      </c>
      <c r="E170">
        <f>Irms+Table1[[#This Row],[Ripple Current (A)]]</f>
        <v>21.239840000000001</v>
      </c>
      <c r="F170">
        <f>Table1[[#This Row],[Vout]]*(Table1[[#This Row],[Imin]]+Table1[[#This Row],[Ripple Current (A)]])</f>
        <v>482.15999999999997</v>
      </c>
      <c r="G170" s="1">
        <f>Table1[[#This Row],[Pout]]/Frequency</f>
        <v>9.6431999999999993E-3</v>
      </c>
      <c r="H170" s="1">
        <f>Table1[[#This Row],[Duty]]/Frequency</f>
        <v>1.6399999999999999E-5</v>
      </c>
      <c r="I170" s="1">
        <f>Table1[[#This Row],[Pout]]/Vin</f>
        <v>16.399999999999999</v>
      </c>
      <c r="J170" s="1">
        <f>Vin*Table1[[#This Row],[Idc]]*Table1[[#This Row],[Time On]]</f>
        <v>7.907423999999998E-3</v>
      </c>
      <c r="K170" s="1">
        <f>Table1[[#This Row],[Energy/Cycle]]-Table1[[#This Row],[Edc]]</f>
        <v>1.7357760000000014E-3</v>
      </c>
      <c r="L170" s="1">
        <f>2*Table1[[#This Row],[E Capacitor]]/(Vin^2-(Vin-V_ripple)^2)</f>
        <v>2.3626045087198565E-3</v>
      </c>
      <c r="M170" s="1">
        <f>Table1[[#This Row],[Energy/Cycle]]-(Table1[[#This Row],[E Capacitor]]+Table1[[#This Row],[Edc]])</f>
        <v>0</v>
      </c>
      <c r="N17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7.65635886817853</v>
      </c>
    </row>
    <row r="171" spans="1:14" x14ac:dyDescent="0.25">
      <c r="A171">
        <v>0.82499999999999996</v>
      </c>
      <c r="B171">
        <f t="shared" si="5"/>
        <v>24.254999999999999</v>
      </c>
      <c r="C171">
        <f>(Vin-Table1[[#This Row],[Vout]])*Table1[[#This Row],[Duty]]/(Frequency*Inductance)</f>
        <v>1.21275</v>
      </c>
      <c r="D171">
        <f>Irms-Table1[[#This Row],[Ripple Current (A)]]</f>
        <v>18.78725</v>
      </c>
      <c r="E171">
        <f>Irms+Table1[[#This Row],[Ripple Current (A)]]</f>
        <v>21.21275</v>
      </c>
      <c r="F171">
        <f>Table1[[#This Row],[Vout]]*(Table1[[#This Row],[Imin]]+Table1[[#This Row],[Ripple Current (A)]])</f>
        <v>485.09999999999997</v>
      </c>
      <c r="G171" s="1">
        <f>Table1[[#This Row],[Pout]]/Frequency</f>
        <v>9.7019999999999988E-3</v>
      </c>
      <c r="H171" s="1">
        <f>Table1[[#This Row],[Duty]]/Frequency</f>
        <v>1.6499999999999998E-5</v>
      </c>
      <c r="I171" s="1">
        <f>Table1[[#This Row],[Pout]]/Vin</f>
        <v>16.5</v>
      </c>
      <c r="J171" s="1">
        <f>Vin*Table1[[#This Row],[Idc]]*Table1[[#This Row],[Time On]]</f>
        <v>8.0041499999999981E-3</v>
      </c>
      <c r="K171" s="1">
        <f>Table1[[#This Row],[Energy/Cycle]]-Table1[[#This Row],[Edc]]</f>
        <v>1.6978500000000007E-3</v>
      </c>
      <c r="L171" s="1">
        <f>2*Table1[[#This Row],[E Capacitor]]/(Vin^2-(Vin-V_ripple)^2)</f>
        <v>2.3109825606126635E-3</v>
      </c>
      <c r="M171" s="1">
        <f>Table1[[#This Row],[Energy/Cycle]]-(Table1[[#This Row],[E Capacitor]]+Table1[[#This Row],[Edc]])</f>
        <v>0</v>
      </c>
      <c r="N17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7.5726838238046428</v>
      </c>
    </row>
    <row r="172" spans="1:14" x14ac:dyDescent="0.25">
      <c r="A172">
        <v>0.83</v>
      </c>
      <c r="B172">
        <f t="shared" si="5"/>
        <v>24.401999999999997</v>
      </c>
      <c r="C172">
        <f>(Vin-Table1[[#This Row],[Vout]])*Table1[[#This Row],[Duty]]/(Frequency*Inductance)</f>
        <v>1.1852400000000005</v>
      </c>
      <c r="D172">
        <f>Irms-Table1[[#This Row],[Ripple Current (A)]]</f>
        <v>18.81476</v>
      </c>
      <c r="E172">
        <f>Irms+Table1[[#This Row],[Ripple Current (A)]]</f>
        <v>21.18524</v>
      </c>
      <c r="F172">
        <f>Table1[[#This Row],[Vout]]*(Table1[[#This Row],[Imin]]+Table1[[#This Row],[Ripple Current (A)]])</f>
        <v>488.03999999999996</v>
      </c>
      <c r="G172" s="1">
        <f>Table1[[#This Row],[Pout]]/Frequency</f>
        <v>9.7608E-3</v>
      </c>
      <c r="H172" s="1">
        <f>Table1[[#This Row],[Duty]]/Frequency</f>
        <v>1.66E-5</v>
      </c>
      <c r="I172" s="1">
        <f>Table1[[#This Row],[Pout]]/Vin</f>
        <v>16.599999999999998</v>
      </c>
      <c r="J172" s="1">
        <f>Vin*Table1[[#This Row],[Idc]]*Table1[[#This Row],[Time On]]</f>
        <v>8.1014639999999992E-3</v>
      </c>
      <c r="K172" s="1">
        <f>Table1[[#This Row],[Energy/Cycle]]-Table1[[#This Row],[Edc]]</f>
        <v>1.6593360000000008E-3</v>
      </c>
      <c r="L172" s="1">
        <f>2*Table1[[#This Row],[E Capacitor]]/(Vin^2-(Vin-V_ripple)^2)</f>
        <v>2.2585602722247403E-3</v>
      </c>
      <c r="M172" s="1">
        <f>Table1[[#This Row],[Energy/Cycle]]-(Table1[[#This Row],[E Capacitor]]+Table1[[#This Row],[Edc]])</f>
        <v>0</v>
      </c>
      <c r="N17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7.4867443101834334</v>
      </c>
    </row>
    <row r="173" spans="1:14" x14ac:dyDescent="0.25">
      <c r="A173">
        <v>0.83499999999999996</v>
      </c>
      <c r="B173">
        <f t="shared" si="5"/>
        <v>24.548999999999999</v>
      </c>
      <c r="C173">
        <f>(Vin-Table1[[#This Row],[Vout]])*Table1[[#This Row],[Duty]]/(Frequency*Inductance)</f>
        <v>1.1573099999999998</v>
      </c>
      <c r="D173">
        <f>Irms-Table1[[#This Row],[Ripple Current (A)]]</f>
        <v>18.842690000000001</v>
      </c>
      <c r="E173">
        <f>Irms+Table1[[#This Row],[Ripple Current (A)]]</f>
        <v>21.157309999999999</v>
      </c>
      <c r="F173">
        <f>Table1[[#This Row],[Vout]]*(Table1[[#This Row],[Imin]]+Table1[[#This Row],[Ripple Current (A)]])</f>
        <v>490.98</v>
      </c>
      <c r="G173" s="1">
        <f>Table1[[#This Row],[Pout]]/Frequency</f>
        <v>9.8195999999999995E-3</v>
      </c>
      <c r="H173" s="1">
        <f>Table1[[#This Row],[Duty]]/Frequency</f>
        <v>1.6699999999999999E-5</v>
      </c>
      <c r="I173" s="1">
        <f>Table1[[#This Row],[Pout]]/Vin</f>
        <v>16.700000000000003</v>
      </c>
      <c r="J173" s="1">
        <f>Vin*Table1[[#This Row],[Idc]]*Table1[[#This Row],[Time On]]</f>
        <v>8.1993660000000013E-3</v>
      </c>
      <c r="K173" s="1">
        <f>Table1[[#This Row],[Energy/Cycle]]-Table1[[#This Row],[Edc]]</f>
        <v>1.6202339999999982E-3</v>
      </c>
      <c r="L173" s="1">
        <f>2*Table1[[#This Row],[E Capacitor]]/(Vin^2-(Vin-V_ripple)^2)</f>
        <v>2.2053376435560812E-3</v>
      </c>
      <c r="M173" s="1">
        <f>Table1[[#This Row],[Energy/Cycle]]-(Table1[[#This Row],[E Capacitor]]+Table1[[#This Row],[Edc]])</f>
        <v>0</v>
      </c>
      <c r="N17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7.3984599529419306</v>
      </c>
    </row>
    <row r="174" spans="1:14" x14ac:dyDescent="0.25">
      <c r="A174">
        <v>0.84</v>
      </c>
      <c r="B174">
        <f t="shared" si="5"/>
        <v>24.695999999999998</v>
      </c>
      <c r="C174">
        <f>(Vin-Table1[[#This Row],[Vout]])*Table1[[#This Row],[Duty]]/(Frequency*Inductance)</f>
        <v>1.1289600000000002</v>
      </c>
      <c r="D174">
        <f>Irms-Table1[[#This Row],[Ripple Current (A)]]</f>
        <v>18.871040000000001</v>
      </c>
      <c r="E174">
        <f>Irms+Table1[[#This Row],[Ripple Current (A)]]</f>
        <v>21.128959999999999</v>
      </c>
      <c r="F174">
        <f>Table1[[#This Row],[Vout]]*(Table1[[#This Row],[Imin]]+Table1[[#This Row],[Ripple Current (A)]])</f>
        <v>493.91999999999996</v>
      </c>
      <c r="G174" s="1">
        <f>Table1[[#This Row],[Pout]]/Frequency</f>
        <v>9.878399999999999E-3</v>
      </c>
      <c r="H174" s="1">
        <f>Table1[[#This Row],[Duty]]/Frequency</f>
        <v>1.6799999999999998E-5</v>
      </c>
      <c r="I174" s="1">
        <f>Table1[[#This Row],[Pout]]/Vin</f>
        <v>16.8</v>
      </c>
      <c r="J174" s="1">
        <f>Vin*Table1[[#This Row],[Idc]]*Table1[[#This Row],[Time On]]</f>
        <v>8.2978559999999993E-3</v>
      </c>
      <c r="K174" s="1">
        <f>Table1[[#This Row],[Energy/Cycle]]-Table1[[#This Row],[Edc]]</f>
        <v>1.5805439999999997E-3</v>
      </c>
      <c r="L174" s="1">
        <f>2*Table1[[#This Row],[E Capacitor]]/(Vin^2-(Vin-V_ripple)^2)</f>
        <v>2.1513146746066966E-3</v>
      </c>
      <c r="M174" s="1">
        <f>Table1[[#This Row],[Energy/Cycle]]-(Table1[[#This Row],[E Capacitor]]+Table1[[#This Row],[Edc]])</f>
        <v>0</v>
      </c>
      <c r="N17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7.3077442353404791</v>
      </c>
    </row>
    <row r="175" spans="1:14" x14ac:dyDescent="0.25">
      <c r="A175">
        <v>0.84499999999999997</v>
      </c>
      <c r="B175">
        <f t="shared" si="5"/>
        <v>24.842999999999996</v>
      </c>
      <c r="C175">
        <f>(Vin-Table1[[#This Row],[Vout]])*Table1[[#This Row],[Duty]]/(Frequency*Inductance)</f>
        <v>1.1001900000000007</v>
      </c>
      <c r="D175">
        <f>Irms-Table1[[#This Row],[Ripple Current (A)]]</f>
        <v>18.899809999999999</v>
      </c>
      <c r="E175">
        <f>Irms+Table1[[#This Row],[Ripple Current (A)]]</f>
        <v>21.100190000000001</v>
      </c>
      <c r="F175">
        <f>Table1[[#This Row],[Vout]]*(Table1[[#This Row],[Imin]]+Table1[[#This Row],[Ripple Current (A)]])</f>
        <v>496.8599999999999</v>
      </c>
      <c r="G175" s="1">
        <f>Table1[[#This Row],[Pout]]/Frequency</f>
        <v>9.9371999999999985E-3</v>
      </c>
      <c r="H175" s="1">
        <f>Table1[[#This Row],[Duty]]/Frequency</f>
        <v>1.6900000000000001E-5</v>
      </c>
      <c r="I175" s="1">
        <f>Table1[[#This Row],[Pout]]/Vin</f>
        <v>16.899999999999999</v>
      </c>
      <c r="J175" s="1">
        <f>Vin*Table1[[#This Row],[Idc]]*Table1[[#This Row],[Time On]]</f>
        <v>8.396934E-3</v>
      </c>
      <c r="K175" s="1">
        <f>Table1[[#This Row],[Energy/Cycle]]-Table1[[#This Row],[Edc]]</f>
        <v>1.5402659999999985E-3</v>
      </c>
      <c r="L175" s="1">
        <f>2*Table1[[#This Row],[E Capacitor]]/(Vin^2-(Vin-V_ripple)^2)</f>
        <v>2.096491365376576E-3</v>
      </c>
      <c r="M175" s="1">
        <f>Table1[[#This Row],[Energy/Cycle]]-(Table1[[#This Row],[E Capacitor]]+Table1[[#This Row],[Edc]])</f>
        <v>0</v>
      </c>
      <c r="N17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7.2145038350879336</v>
      </c>
    </row>
    <row r="176" spans="1:14" x14ac:dyDescent="0.25">
      <c r="A176">
        <v>0.85</v>
      </c>
      <c r="B176">
        <f t="shared" si="5"/>
        <v>24.99</v>
      </c>
      <c r="C176">
        <f>(Vin-Table1[[#This Row],[Vout]])*Table1[[#This Row],[Duty]]/(Frequency*Inductance)</f>
        <v>1.0710000000000002</v>
      </c>
      <c r="D176">
        <f>Irms-Table1[[#This Row],[Ripple Current (A)]]</f>
        <v>18.928999999999998</v>
      </c>
      <c r="E176">
        <f>Irms+Table1[[#This Row],[Ripple Current (A)]]</f>
        <v>21.071000000000002</v>
      </c>
      <c r="F176">
        <f>Table1[[#This Row],[Vout]]*(Table1[[#This Row],[Imin]]+Table1[[#This Row],[Ripple Current (A)]])</f>
        <v>499.79999999999995</v>
      </c>
      <c r="G176" s="1">
        <f>Table1[[#This Row],[Pout]]/Frequency</f>
        <v>9.9959999999999997E-3</v>
      </c>
      <c r="H176" s="1">
        <f>Table1[[#This Row],[Duty]]/Frequency</f>
        <v>1.7E-5</v>
      </c>
      <c r="I176" s="1">
        <f>Table1[[#This Row],[Pout]]/Vin</f>
        <v>17</v>
      </c>
      <c r="J176" s="1">
        <f>Vin*Table1[[#This Row],[Idc]]*Table1[[#This Row],[Time On]]</f>
        <v>8.4966E-3</v>
      </c>
      <c r="K176" s="1">
        <f>Table1[[#This Row],[Energy/Cycle]]-Table1[[#This Row],[Edc]]</f>
        <v>1.4993999999999997E-3</v>
      </c>
      <c r="L176" s="1">
        <f>2*Table1[[#This Row],[E Capacitor]]/(Vin^2-(Vin-V_ripple)^2)</f>
        <v>2.0408677158657278E-3</v>
      </c>
      <c r="M176" s="1">
        <f>Table1[[#This Row],[Energy/Cycle]]-(Table1[[#This Row],[E Capacitor]]+Table1[[#This Row],[Edc]])</f>
        <v>0</v>
      </c>
      <c r="N17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7.1186378647884601</v>
      </c>
    </row>
    <row r="177" spans="1:14" x14ac:dyDescent="0.25">
      <c r="A177">
        <v>0.85499999999999998</v>
      </c>
      <c r="B177">
        <f t="shared" si="5"/>
        <v>25.136999999999997</v>
      </c>
      <c r="C177">
        <f>(Vin-Table1[[#This Row],[Vout]])*Table1[[#This Row],[Duty]]/(Frequency*Inductance)</f>
        <v>1.0413900000000005</v>
      </c>
      <c r="D177">
        <f>Irms-Table1[[#This Row],[Ripple Current (A)]]</f>
        <v>18.95861</v>
      </c>
      <c r="E177">
        <f>Irms+Table1[[#This Row],[Ripple Current (A)]]</f>
        <v>21.04139</v>
      </c>
      <c r="F177">
        <f>Table1[[#This Row],[Vout]]*(Table1[[#This Row],[Imin]]+Table1[[#This Row],[Ripple Current (A)]])</f>
        <v>502.73999999999995</v>
      </c>
      <c r="G177" s="1">
        <f>Table1[[#This Row],[Pout]]/Frequency</f>
        <v>1.0054799999999999E-2</v>
      </c>
      <c r="H177" s="1">
        <f>Table1[[#This Row],[Duty]]/Frequency</f>
        <v>1.7099999999999999E-5</v>
      </c>
      <c r="I177" s="1">
        <f>Table1[[#This Row],[Pout]]/Vin</f>
        <v>17.099999999999998</v>
      </c>
      <c r="J177" s="1">
        <f>Vin*Table1[[#This Row],[Idc]]*Table1[[#This Row],[Time On]]</f>
        <v>8.5968539999999975E-3</v>
      </c>
      <c r="K177" s="1">
        <f>Table1[[#This Row],[Energy/Cycle]]-Table1[[#This Row],[Edc]]</f>
        <v>1.4579460000000016E-3</v>
      </c>
      <c r="L177" s="1">
        <f>2*Table1[[#This Row],[E Capacitor]]/(Vin^2-(Vin-V_ripple)^2)</f>
        <v>1.9844437260741485E-3</v>
      </c>
      <c r="M177" s="1">
        <f>Table1[[#This Row],[Energy/Cycle]]-(Table1[[#This Row],[E Capacitor]]+Table1[[#This Row],[Edc]])</f>
        <v>0</v>
      </c>
      <c r="N17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7.0200369982893616</v>
      </c>
    </row>
    <row r="178" spans="1:14" x14ac:dyDescent="0.25">
      <c r="A178">
        <v>0.86</v>
      </c>
      <c r="B178">
        <f t="shared" si="5"/>
        <v>25.283999999999999</v>
      </c>
      <c r="C178">
        <f>(Vin-Table1[[#This Row],[Vout]])*Table1[[#This Row],[Duty]]/(Frequency*Inductance)</f>
        <v>1.01136</v>
      </c>
      <c r="D178">
        <f>Irms-Table1[[#This Row],[Ripple Current (A)]]</f>
        <v>18.98864</v>
      </c>
      <c r="E178">
        <f>Irms+Table1[[#This Row],[Ripple Current (A)]]</f>
        <v>21.01136</v>
      </c>
      <c r="F178">
        <f>Table1[[#This Row],[Vout]]*(Table1[[#This Row],[Imin]]+Table1[[#This Row],[Ripple Current (A)]])</f>
        <v>505.67999999999995</v>
      </c>
      <c r="G178" s="1">
        <f>Table1[[#This Row],[Pout]]/Frequency</f>
        <v>1.0113599999999999E-2</v>
      </c>
      <c r="H178" s="1">
        <f>Table1[[#This Row],[Duty]]/Frequency</f>
        <v>1.7200000000000001E-5</v>
      </c>
      <c r="I178" s="1">
        <f>Table1[[#This Row],[Pout]]/Vin</f>
        <v>17.2</v>
      </c>
      <c r="J178" s="1">
        <f>Vin*Table1[[#This Row],[Idc]]*Table1[[#This Row],[Time On]]</f>
        <v>8.6976959999999996E-3</v>
      </c>
      <c r="K178" s="1">
        <f>Table1[[#This Row],[Energy/Cycle]]-Table1[[#This Row],[Edc]]</f>
        <v>1.4159039999999991E-3</v>
      </c>
      <c r="L178" s="1">
        <f>2*Table1[[#This Row],[E Capacitor]]/(Vin^2-(Vin-V_ripple)^2)</f>
        <v>1.9272193960018314E-3</v>
      </c>
      <c r="M178" s="1">
        <f>Table1[[#This Row],[Energy/Cycle]]-(Table1[[#This Row],[E Capacitor]]+Table1[[#This Row],[Edc]])</f>
        <v>0</v>
      </c>
      <c r="N17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6.9185824612017166</v>
      </c>
    </row>
    <row r="179" spans="1:14" x14ac:dyDescent="0.25">
      <c r="A179">
        <v>0.86499999999999999</v>
      </c>
      <c r="B179">
        <f t="shared" si="5"/>
        <v>25.430999999999997</v>
      </c>
      <c r="C179">
        <f>(Vin-Table1[[#This Row],[Vout]])*Table1[[#This Row],[Duty]]/(Frequency*Inductance)</f>
        <v>0.98091000000000039</v>
      </c>
      <c r="D179">
        <f>Irms-Table1[[#This Row],[Ripple Current (A)]]</f>
        <v>19.019089999999998</v>
      </c>
      <c r="E179">
        <f>Irms+Table1[[#This Row],[Ripple Current (A)]]</f>
        <v>20.980910000000002</v>
      </c>
      <c r="F179">
        <f>Table1[[#This Row],[Vout]]*(Table1[[#This Row],[Imin]]+Table1[[#This Row],[Ripple Current (A)]])</f>
        <v>508.61999999999995</v>
      </c>
      <c r="G179" s="1">
        <f>Table1[[#This Row],[Pout]]/Frequency</f>
        <v>1.0172399999999998E-2</v>
      </c>
      <c r="H179" s="1">
        <f>Table1[[#This Row],[Duty]]/Frequency</f>
        <v>1.73E-5</v>
      </c>
      <c r="I179" s="1">
        <f>Table1[[#This Row],[Pout]]/Vin</f>
        <v>17.3</v>
      </c>
      <c r="J179" s="1">
        <f>Vin*Table1[[#This Row],[Idc]]*Table1[[#This Row],[Time On]]</f>
        <v>8.7991260000000009E-3</v>
      </c>
      <c r="K179" s="1">
        <f>Table1[[#This Row],[Energy/Cycle]]-Table1[[#This Row],[Edc]]</f>
        <v>1.3732739999999972E-3</v>
      </c>
      <c r="L179" s="1">
        <f>2*Table1[[#This Row],[E Capacitor]]/(Vin^2-(Vin-V_ripple)^2)</f>
        <v>1.8691947256487837E-3</v>
      </c>
      <c r="M179" s="1">
        <f>Table1[[#This Row],[Energy/Cycle]]-(Table1[[#This Row],[E Capacitor]]+Table1[[#This Row],[Edc]])</f>
        <v>0</v>
      </c>
      <c r="N17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6.8141448587892892</v>
      </c>
    </row>
    <row r="180" spans="1:14" x14ac:dyDescent="0.25">
      <c r="A180">
        <v>0.87</v>
      </c>
      <c r="B180">
        <f t="shared" si="5"/>
        <v>25.577999999999999</v>
      </c>
      <c r="C180">
        <f>(Vin-Table1[[#This Row],[Vout]])*Table1[[#This Row],[Duty]]/(Frequency*Inductance)</f>
        <v>0.95003999999999988</v>
      </c>
      <c r="D180">
        <f>Irms-Table1[[#This Row],[Ripple Current (A)]]</f>
        <v>19.049959999999999</v>
      </c>
      <c r="E180">
        <f>Irms+Table1[[#This Row],[Ripple Current (A)]]</f>
        <v>20.950040000000001</v>
      </c>
      <c r="F180">
        <f>Table1[[#This Row],[Vout]]*(Table1[[#This Row],[Imin]]+Table1[[#This Row],[Ripple Current (A)]])</f>
        <v>511.56</v>
      </c>
      <c r="G180" s="1">
        <f>Table1[[#This Row],[Pout]]/Frequency</f>
        <v>1.0231199999999999E-2</v>
      </c>
      <c r="H180" s="1">
        <f>Table1[[#This Row],[Duty]]/Frequency</f>
        <v>1.7399999999999999E-5</v>
      </c>
      <c r="I180" s="1">
        <f>Table1[[#This Row],[Pout]]/Vin</f>
        <v>17.400000000000002</v>
      </c>
      <c r="J180" s="1">
        <f>Vin*Table1[[#This Row],[Idc]]*Table1[[#This Row],[Time On]]</f>
        <v>8.9011440000000015E-3</v>
      </c>
      <c r="K180" s="1">
        <f>Table1[[#This Row],[Energy/Cycle]]-Table1[[#This Row],[Edc]]</f>
        <v>1.3300559999999979E-3</v>
      </c>
      <c r="L180" s="1">
        <f>2*Table1[[#This Row],[E Capacitor]]/(Vin^2-(Vin-V_ripple)^2)</f>
        <v>1.8103697150150077E-3</v>
      </c>
      <c r="M180" s="1">
        <f>Table1[[#This Row],[Energy/Cycle]]-(Table1[[#This Row],[E Capacitor]]+Table1[[#This Row],[Edc]])</f>
        <v>0</v>
      </c>
      <c r="N18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6.7065828079235699</v>
      </c>
    </row>
    <row r="181" spans="1:14" x14ac:dyDescent="0.25">
      <c r="A181">
        <v>0.875</v>
      </c>
      <c r="B181">
        <f t="shared" si="5"/>
        <v>25.724999999999998</v>
      </c>
      <c r="C181">
        <f>(Vin-Table1[[#This Row],[Vout]])*Table1[[#This Row],[Duty]]/(Frequency*Inductance)</f>
        <v>0.91875000000000029</v>
      </c>
      <c r="D181">
        <f>Irms-Table1[[#This Row],[Ripple Current (A)]]</f>
        <v>19.081250000000001</v>
      </c>
      <c r="E181">
        <f>Irms+Table1[[#This Row],[Ripple Current (A)]]</f>
        <v>20.918749999999999</v>
      </c>
      <c r="F181">
        <f>Table1[[#This Row],[Vout]]*(Table1[[#This Row],[Imin]]+Table1[[#This Row],[Ripple Current (A)]])</f>
        <v>514.5</v>
      </c>
      <c r="G181" s="1">
        <f>Table1[[#This Row],[Pout]]/Frequency</f>
        <v>1.0290000000000001E-2</v>
      </c>
      <c r="H181" s="1">
        <f>Table1[[#This Row],[Duty]]/Frequency</f>
        <v>1.7499999999999998E-5</v>
      </c>
      <c r="I181" s="1">
        <f>Table1[[#This Row],[Pout]]/Vin</f>
        <v>17.5</v>
      </c>
      <c r="J181" s="1">
        <f>Vin*Table1[[#This Row],[Idc]]*Table1[[#This Row],[Time On]]</f>
        <v>9.0037499999999996E-3</v>
      </c>
      <c r="K181" s="1">
        <f>Table1[[#This Row],[Energy/Cycle]]-Table1[[#This Row],[Edc]]</f>
        <v>1.2862500000000009E-3</v>
      </c>
      <c r="L181" s="1">
        <f>2*Table1[[#This Row],[E Capacitor]]/(Vin^2-(Vin-V_ripple)^2)</f>
        <v>1.7507443641005033E-3</v>
      </c>
      <c r="M181" s="1">
        <f>Table1[[#This Row],[Energy/Cycle]]-(Table1[[#This Row],[E Capacitor]]+Table1[[#This Row],[Edc]])</f>
        <v>0</v>
      </c>
      <c r="N18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6.5957413314151054</v>
      </c>
    </row>
    <row r="182" spans="1:14" x14ac:dyDescent="0.25">
      <c r="A182">
        <v>0.88</v>
      </c>
      <c r="B182">
        <f t="shared" si="5"/>
        <v>25.872</v>
      </c>
      <c r="C182">
        <f>(Vin-Table1[[#This Row],[Vout]])*Table1[[#This Row],[Duty]]/(Frequency*Inductance)</f>
        <v>0.88703999999999983</v>
      </c>
      <c r="D182">
        <f>Irms-Table1[[#This Row],[Ripple Current (A)]]</f>
        <v>19.112960000000001</v>
      </c>
      <c r="E182">
        <f>Irms+Table1[[#This Row],[Ripple Current (A)]]</f>
        <v>20.887039999999999</v>
      </c>
      <c r="F182">
        <f>Table1[[#This Row],[Vout]]*(Table1[[#This Row],[Imin]]+Table1[[#This Row],[Ripple Current (A)]])</f>
        <v>517.44000000000005</v>
      </c>
      <c r="G182" s="1">
        <f>Table1[[#This Row],[Pout]]/Frequency</f>
        <v>1.0348800000000002E-2</v>
      </c>
      <c r="H182" s="1">
        <f>Table1[[#This Row],[Duty]]/Frequency</f>
        <v>1.7600000000000001E-5</v>
      </c>
      <c r="I182" s="1">
        <f>Table1[[#This Row],[Pout]]/Vin</f>
        <v>17.600000000000001</v>
      </c>
      <c r="J182" s="1">
        <f>Vin*Table1[[#This Row],[Idc]]*Table1[[#This Row],[Time On]]</f>
        <v>9.1069440000000022E-3</v>
      </c>
      <c r="K182" s="1">
        <f>Table1[[#This Row],[Energy/Cycle]]-Table1[[#This Row],[Edc]]</f>
        <v>1.2418559999999995E-3</v>
      </c>
      <c r="L182" s="1">
        <f>2*Table1[[#This Row],[E Capacitor]]/(Vin^2-(Vin-V_ripple)^2)</f>
        <v>1.6903186729052611E-3</v>
      </c>
      <c r="M182" s="1">
        <f>Table1[[#This Row],[Energy/Cycle]]-(Table1[[#This Row],[E Capacitor]]+Table1[[#This Row],[Edc]])</f>
        <v>0</v>
      </c>
      <c r="N18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6.4814499621044677</v>
      </c>
    </row>
    <row r="183" spans="1:14" x14ac:dyDescent="0.25">
      <c r="A183">
        <v>0.88500000000000001</v>
      </c>
      <c r="B183">
        <f t="shared" si="5"/>
        <v>26.018999999999998</v>
      </c>
      <c r="C183">
        <f>(Vin-Table1[[#This Row],[Vout]])*Table1[[#This Row],[Duty]]/(Frequency*Inductance)</f>
        <v>0.85491000000000017</v>
      </c>
      <c r="D183">
        <f>Irms-Table1[[#This Row],[Ripple Current (A)]]</f>
        <v>19.14509</v>
      </c>
      <c r="E183">
        <f>Irms+Table1[[#This Row],[Ripple Current (A)]]</f>
        <v>20.85491</v>
      </c>
      <c r="F183">
        <f>Table1[[#This Row],[Vout]]*(Table1[[#This Row],[Imin]]+Table1[[#This Row],[Ripple Current (A)]])</f>
        <v>520.38</v>
      </c>
      <c r="G183" s="1">
        <f>Table1[[#This Row],[Pout]]/Frequency</f>
        <v>1.0407599999999999E-2</v>
      </c>
      <c r="H183" s="1">
        <f>Table1[[#This Row],[Duty]]/Frequency</f>
        <v>1.77E-5</v>
      </c>
      <c r="I183" s="1">
        <f>Table1[[#This Row],[Pout]]/Vin</f>
        <v>17.7</v>
      </c>
      <c r="J183" s="1">
        <f>Vin*Table1[[#This Row],[Idc]]*Table1[[#This Row],[Time On]]</f>
        <v>9.2107260000000007E-3</v>
      </c>
      <c r="K183" s="1">
        <f>Table1[[#This Row],[Energy/Cycle]]-Table1[[#This Row],[Edc]]</f>
        <v>1.1968739999999988E-3</v>
      </c>
      <c r="L183" s="1">
        <f>2*Table1[[#This Row],[E Capacitor]]/(Vin^2-(Vin-V_ripple)^2)</f>
        <v>1.6290926414292883E-3</v>
      </c>
      <c r="M183" s="1">
        <f>Table1[[#This Row],[Energy/Cycle]]-(Table1[[#This Row],[E Capacitor]]+Table1[[#This Row],[Edc]])</f>
        <v>0</v>
      </c>
      <c r="N18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6.3635204897219033</v>
      </c>
    </row>
    <row r="184" spans="1:14" x14ac:dyDescent="0.25">
      <c r="A184">
        <v>0.89</v>
      </c>
      <c r="B184">
        <f t="shared" si="5"/>
        <v>26.166</v>
      </c>
      <c r="C184">
        <f>(Vin-Table1[[#This Row],[Vout]])*Table1[[#This Row],[Duty]]/(Frequency*Inductance)</f>
        <v>0.82235999999999965</v>
      </c>
      <c r="D184">
        <f>Irms-Table1[[#This Row],[Ripple Current (A)]]</f>
        <v>19.17764</v>
      </c>
      <c r="E184">
        <f>Irms+Table1[[#This Row],[Ripple Current (A)]]</f>
        <v>20.82236</v>
      </c>
      <c r="F184">
        <f>Table1[[#This Row],[Vout]]*(Table1[[#This Row],[Imin]]+Table1[[#This Row],[Ripple Current (A)]])</f>
        <v>523.32000000000005</v>
      </c>
      <c r="G184" s="1">
        <f>Table1[[#This Row],[Pout]]/Frequency</f>
        <v>1.0466400000000001E-2</v>
      </c>
      <c r="H184" s="1">
        <f>Table1[[#This Row],[Duty]]/Frequency</f>
        <v>1.7799999999999999E-5</v>
      </c>
      <c r="I184" s="1">
        <f>Table1[[#This Row],[Pout]]/Vin</f>
        <v>17.800000000000004</v>
      </c>
      <c r="J184" s="1">
        <f>Vin*Table1[[#This Row],[Idc]]*Table1[[#This Row],[Time On]]</f>
        <v>9.3150960000000001E-3</v>
      </c>
      <c r="K184" s="1">
        <f>Table1[[#This Row],[Energy/Cycle]]-Table1[[#This Row],[Edc]]</f>
        <v>1.1513040000000006E-3</v>
      </c>
      <c r="L184" s="1">
        <f>2*Table1[[#This Row],[E Capacitor]]/(Vin^2-(Vin-V_ripple)^2)</f>
        <v>1.5670662696725872E-3</v>
      </c>
      <c r="M184" s="1">
        <f>Table1[[#This Row],[Energy/Cycle]]-(Table1[[#This Row],[E Capacitor]]+Table1[[#This Row],[Edc]])</f>
        <v>0</v>
      </c>
      <c r="N18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6.2417442644145549</v>
      </c>
    </row>
    <row r="185" spans="1:14" x14ac:dyDescent="0.25">
      <c r="A185">
        <v>0.89500000000000002</v>
      </c>
      <c r="B185">
        <f t="shared" si="5"/>
        <v>26.312999999999999</v>
      </c>
      <c r="C185">
        <f>(Vin-Table1[[#This Row],[Vout]])*Table1[[#This Row],[Duty]]/(Frequency*Inductance)</f>
        <v>0.78939000000000004</v>
      </c>
      <c r="D185">
        <f>Irms-Table1[[#This Row],[Ripple Current (A)]]</f>
        <v>19.210609999999999</v>
      </c>
      <c r="E185">
        <f>Irms+Table1[[#This Row],[Ripple Current (A)]]</f>
        <v>20.789390000000001</v>
      </c>
      <c r="F185">
        <f>Table1[[#This Row],[Vout]]*(Table1[[#This Row],[Imin]]+Table1[[#This Row],[Ripple Current (A)]])</f>
        <v>526.26</v>
      </c>
      <c r="G185" s="1">
        <f>Table1[[#This Row],[Pout]]/Frequency</f>
        <v>1.05252E-2</v>
      </c>
      <c r="H185" s="1">
        <f>Table1[[#This Row],[Duty]]/Frequency</f>
        <v>1.7900000000000001E-5</v>
      </c>
      <c r="I185" s="1">
        <f>Table1[[#This Row],[Pout]]/Vin</f>
        <v>17.900000000000002</v>
      </c>
      <c r="J185" s="1">
        <f>Vin*Table1[[#This Row],[Idc]]*Table1[[#This Row],[Time On]]</f>
        <v>9.4200540000000006E-3</v>
      </c>
      <c r="K185" s="1">
        <f>Table1[[#This Row],[Energy/Cycle]]-Table1[[#This Row],[Edc]]</f>
        <v>1.1051459999999996E-3</v>
      </c>
      <c r="L185" s="1">
        <f>2*Table1[[#This Row],[E Capacitor]]/(Vin^2-(Vin-V_ripple)^2)</f>
        <v>1.5042395576351508E-3</v>
      </c>
      <c r="M185" s="1">
        <f>Table1[[#This Row],[Energy/Cycle]]-(Table1[[#This Row],[E Capacitor]]+Table1[[#This Row],[Edc]])</f>
        <v>0</v>
      </c>
      <c r="N18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6.1158889451430927</v>
      </c>
    </row>
    <row r="186" spans="1:14" x14ac:dyDescent="0.25">
      <c r="A186">
        <v>0.9</v>
      </c>
      <c r="B186">
        <f t="shared" si="5"/>
        <v>26.46</v>
      </c>
      <c r="C186">
        <f>(Vin-Table1[[#This Row],[Vout]])*Table1[[#This Row],[Duty]]/(Frequency*Inductance)</f>
        <v>0.75599999999999956</v>
      </c>
      <c r="D186">
        <f>Irms-Table1[[#This Row],[Ripple Current (A)]]</f>
        <v>19.244</v>
      </c>
      <c r="E186">
        <f>Irms+Table1[[#This Row],[Ripple Current (A)]]</f>
        <v>20.756</v>
      </c>
      <c r="F186">
        <f>Table1[[#This Row],[Vout]]*(Table1[[#This Row],[Imin]]+Table1[[#This Row],[Ripple Current (A)]])</f>
        <v>529.20000000000005</v>
      </c>
      <c r="G186" s="1">
        <f>Table1[[#This Row],[Pout]]/Frequency</f>
        <v>1.0584000000000001E-2</v>
      </c>
      <c r="H186" s="1">
        <f>Table1[[#This Row],[Duty]]/Frequency</f>
        <v>1.8E-5</v>
      </c>
      <c r="I186" s="1">
        <f>Table1[[#This Row],[Pout]]/Vin</f>
        <v>18.000000000000004</v>
      </c>
      <c r="J186" s="1">
        <f>Vin*Table1[[#This Row],[Idc]]*Table1[[#This Row],[Time On]]</f>
        <v>9.5256000000000004E-3</v>
      </c>
      <c r="K186" s="1">
        <f>Table1[[#This Row],[Energy/Cycle]]-Table1[[#This Row],[Edc]]</f>
        <v>1.058400000000001E-3</v>
      </c>
      <c r="L186" s="1">
        <f>2*Table1[[#This Row],[E Capacitor]]/(Vin^2-(Vin-V_ripple)^2)</f>
        <v>1.4406125053169859E-3</v>
      </c>
      <c r="M186" s="1">
        <f>Table1[[#This Row],[Energy/Cycle]]-(Table1[[#This Row],[E Capacitor]]+Table1[[#This Row],[Edc]])</f>
        <v>0</v>
      </c>
      <c r="N18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5.9856945461658828</v>
      </c>
    </row>
    <row r="187" spans="1:14" x14ac:dyDescent="0.25">
      <c r="A187">
        <v>0.90500000000000003</v>
      </c>
      <c r="B187">
        <f t="shared" si="5"/>
        <v>26.606999999999999</v>
      </c>
      <c r="C187">
        <f>(Vin-Table1[[#This Row],[Vout]])*Table1[[#This Row],[Duty]]/(Frequency*Inductance)</f>
        <v>0.72218999999999989</v>
      </c>
      <c r="D187">
        <f>Irms-Table1[[#This Row],[Ripple Current (A)]]</f>
        <v>19.277809999999999</v>
      </c>
      <c r="E187">
        <f>Irms+Table1[[#This Row],[Ripple Current (A)]]</f>
        <v>20.722190000000001</v>
      </c>
      <c r="F187">
        <f>Table1[[#This Row],[Vout]]*(Table1[[#This Row],[Imin]]+Table1[[#This Row],[Ripple Current (A)]])</f>
        <v>532.14</v>
      </c>
      <c r="G187" s="1">
        <f>Table1[[#This Row],[Pout]]/Frequency</f>
        <v>1.0642799999999999E-2</v>
      </c>
      <c r="H187" s="1">
        <f>Table1[[#This Row],[Duty]]/Frequency</f>
        <v>1.8099999999999999E-5</v>
      </c>
      <c r="I187" s="1">
        <f>Table1[[#This Row],[Pout]]/Vin</f>
        <v>18.100000000000001</v>
      </c>
      <c r="J187" s="1">
        <f>Vin*Table1[[#This Row],[Idc]]*Table1[[#This Row],[Time On]]</f>
        <v>9.6317339999999994E-3</v>
      </c>
      <c r="K187" s="1">
        <f>Table1[[#This Row],[Energy/Cycle]]-Table1[[#This Row],[Edc]]</f>
        <v>1.0110659999999997E-3</v>
      </c>
      <c r="L187" s="1">
        <f>2*Table1[[#This Row],[E Capacitor]]/(Vin^2-(Vin-V_ripple)^2)</f>
        <v>1.3761851127180856E-3</v>
      </c>
      <c r="M187" s="1">
        <f>Table1[[#This Row],[Energy/Cycle]]-(Table1[[#This Row],[E Capacitor]]+Table1[[#This Row],[Edc]])</f>
        <v>0</v>
      </c>
      <c r="N18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5.8508685865584518</v>
      </c>
    </row>
    <row r="188" spans="1:14" x14ac:dyDescent="0.25">
      <c r="A188">
        <v>0.91</v>
      </c>
      <c r="B188">
        <f t="shared" si="5"/>
        <v>26.754000000000001</v>
      </c>
      <c r="C188">
        <f>(Vin-Table1[[#This Row],[Vout]])*Table1[[#This Row],[Duty]]/(Frequency*Inductance)</f>
        <v>0.68795999999999946</v>
      </c>
      <c r="D188">
        <f>Irms-Table1[[#This Row],[Ripple Current (A)]]</f>
        <v>19.31204</v>
      </c>
      <c r="E188">
        <f>Irms+Table1[[#This Row],[Ripple Current (A)]]</f>
        <v>20.68796</v>
      </c>
      <c r="F188">
        <f>Table1[[#This Row],[Vout]]*(Table1[[#This Row],[Imin]]+Table1[[#This Row],[Ripple Current (A)]])</f>
        <v>535.08000000000004</v>
      </c>
      <c r="G188" s="1">
        <f>Table1[[#This Row],[Pout]]/Frequency</f>
        <v>1.07016E-2</v>
      </c>
      <c r="H188" s="1">
        <f>Table1[[#This Row],[Duty]]/Frequency</f>
        <v>1.8200000000000002E-5</v>
      </c>
      <c r="I188" s="1">
        <f>Table1[[#This Row],[Pout]]/Vin</f>
        <v>18.200000000000003</v>
      </c>
      <c r="J188" s="1">
        <f>Vin*Table1[[#This Row],[Idc]]*Table1[[#This Row],[Time On]]</f>
        <v>9.7384560000000012E-3</v>
      </c>
      <c r="K188" s="1">
        <f>Table1[[#This Row],[Energy/Cycle]]-Table1[[#This Row],[Edc]]</f>
        <v>9.6314399999999911E-4</v>
      </c>
      <c r="L188" s="1">
        <f>2*Table1[[#This Row],[E Capacitor]]/(Vin^2-(Vin-V_ripple)^2)</f>
        <v>1.3109573798384547E-3</v>
      </c>
      <c r="M188" s="1">
        <f>Table1[[#This Row],[Energy/Cycle]]-(Table1[[#This Row],[E Capacitor]]+Table1[[#This Row],[Edc]])</f>
        <v>0</v>
      </c>
      <c r="N18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5.7110800801291512</v>
      </c>
    </row>
    <row r="189" spans="1:14" x14ac:dyDescent="0.25">
      <c r="A189">
        <v>0.91500000000000004</v>
      </c>
      <c r="B189">
        <f t="shared" si="5"/>
        <v>26.901</v>
      </c>
      <c r="C189">
        <f>(Vin-Table1[[#This Row],[Vout]])*Table1[[#This Row],[Duty]]/(Frequency*Inductance)</f>
        <v>0.65330999999999972</v>
      </c>
      <c r="D189">
        <f>Irms-Table1[[#This Row],[Ripple Current (A)]]</f>
        <v>19.346689999999999</v>
      </c>
      <c r="E189">
        <f>Irms+Table1[[#This Row],[Ripple Current (A)]]</f>
        <v>20.653310000000001</v>
      </c>
      <c r="F189">
        <f>Table1[[#This Row],[Vout]]*(Table1[[#This Row],[Imin]]+Table1[[#This Row],[Ripple Current (A)]])</f>
        <v>538.02</v>
      </c>
      <c r="G189" s="1">
        <f>Table1[[#This Row],[Pout]]/Frequency</f>
        <v>1.07604E-2</v>
      </c>
      <c r="H189" s="1">
        <f>Table1[[#This Row],[Duty]]/Frequency</f>
        <v>1.8300000000000001E-5</v>
      </c>
      <c r="I189" s="1">
        <f>Table1[[#This Row],[Pout]]/Vin</f>
        <v>18.3</v>
      </c>
      <c r="J189" s="1">
        <f>Vin*Table1[[#This Row],[Idc]]*Table1[[#This Row],[Time On]]</f>
        <v>9.8457660000000006E-3</v>
      </c>
      <c r="K189" s="1">
        <f>Table1[[#This Row],[Energy/Cycle]]-Table1[[#This Row],[Edc]]</f>
        <v>9.1463399999999924E-4</v>
      </c>
      <c r="L189" s="1">
        <f>2*Table1[[#This Row],[E Capacitor]]/(Vin^2-(Vin-V_ripple)^2)</f>
        <v>1.2449293066780932E-3</v>
      </c>
      <c r="M189" s="1">
        <f>Table1[[#This Row],[Energy/Cycle]]-(Table1[[#This Row],[E Capacitor]]+Table1[[#This Row],[Edc]])</f>
        <v>0</v>
      </c>
      <c r="N18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5.5659520069247348</v>
      </c>
    </row>
    <row r="190" spans="1:14" x14ac:dyDescent="0.25">
      <c r="A190">
        <v>0.92</v>
      </c>
      <c r="B190">
        <f t="shared" si="5"/>
        <v>27.047999999999998</v>
      </c>
      <c r="C190">
        <f>(Vin-Table1[[#This Row],[Vout]])*Table1[[#This Row],[Duty]]/(Frequency*Inductance)</f>
        <v>0.61824000000000023</v>
      </c>
      <c r="D190">
        <f>Irms-Table1[[#This Row],[Ripple Current (A)]]</f>
        <v>19.38176</v>
      </c>
      <c r="E190">
        <f>Irms+Table1[[#This Row],[Ripple Current (A)]]</f>
        <v>20.61824</v>
      </c>
      <c r="F190">
        <f>Table1[[#This Row],[Vout]]*(Table1[[#This Row],[Imin]]+Table1[[#This Row],[Ripple Current (A)]])</f>
        <v>540.95999999999992</v>
      </c>
      <c r="G190" s="1">
        <f>Table1[[#This Row],[Pout]]/Frequency</f>
        <v>1.0819199999999999E-2</v>
      </c>
      <c r="H190" s="1">
        <f>Table1[[#This Row],[Duty]]/Frequency</f>
        <v>1.84E-5</v>
      </c>
      <c r="I190" s="1">
        <f>Table1[[#This Row],[Pout]]/Vin</f>
        <v>18.399999999999999</v>
      </c>
      <c r="J190" s="1">
        <f>Vin*Table1[[#This Row],[Idc]]*Table1[[#This Row],[Time On]]</f>
        <v>9.9536639999999992E-3</v>
      </c>
      <c r="K190" s="1">
        <f>Table1[[#This Row],[Energy/Cycle]]-Table1[[#This Row],[Edc]]</f>
        <v>8.6553600000000008E-4</v>
      </c>
      <c r="L190" s="1">
        <f>2*Table1[[#This Row],[E Capacitor]]/(Vin^2-(Vin-V_ripple)^2)</f>
        <v>1.1781008932370007E-3</v>
      </c>
      <c r="M190" s="1">
        <f>Table1[[#This Row],[Energy/Cycle]]-(Table1[[#This Row],[E Capacitor]]+Table1[[#This Row],[Edc]])</f>
        <v>0</v>
      </c>
      <c r="N19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5.4150517682415549</v>
      </c>
    </row>
    <row r="191" spans="1:14" x14ac:dyDescent="0.25">
      <c r="A191">
        <v>0.92500000000000004</v>
      </c>
      <c r="B191">
        <f t="shared" si="5"/>
        <v>27.195</v>
      </c>
      <c r="C191">
        <f>(Vin-Table1[[#This Row],[Vout]])*Table1[[#This Row],[Duty]]/(Frequency*Inductance)</f>
        <v>0.58274999999999966</v>
      </c>
      <c r="D191">
        <f>Irms-Table1[[#This Row],[Ripple Current (A)]]</f>
        <v>19.417249999999999</v>
      </c>
      <c r="E191">
        <f>Irms+Table1[[#This Row],[Ripple Current (A)]]</f>
        <v>20.582750000000001</v>
      </c>
      <c r="F191">
        <f>Table1[[#This Row],[Vout]]*(Table1[[#This Row],[Imin]]+Table1[[#This Row],[Ripple Current (A)]])</f>
        <v>543.9</v>
      </c>
      <c r="G191" s="1">
        <f>Table1[[#This Row],[Pout]]/Frequency</f>
        <v>1.0877999999999999E-2</v>
      </c>
      <c r="H191" s="1">
        <f>Table1[[#This Row],[Duty]]/Frequency</f>
        <v>1.8500000000000002E-5</v>
      </c>
      <c r="I191" s="1">
        <f>Table1[[#This Row],[Pout]]/Vin</f>
        <v>18.5</v>
      </c>
      <c r="J191" s="1">
        <f>Vin*Table1[[#This Row],[Idc]]*Table1[[#This Row],[Time On]]</f>
        <v>1.0062150000000001E-2</v>
      </c>
      <c r="K191" s="1">
        <f>Table1[[#This Row],[Energy/Cycle]]-Table1[[#This Row],[Edc]]</f>
        <v>8.1584999999999817E-4</v>
      </c>
      <c r="L191" s="1">
        <f>2*Table1[[#This Row],[E Capacitor]]/(Vin^2-(Vin-V_ripple)^2)</f>
        <v>1.110472139515173E-3</v>
      </c>
      <c r="M191" s="1">
        <f>Table1[[#This Row],[Energy/Cycle]]-(Table1[[#This Row],[E Capacitor]]+Table1[[#This Row],[Edc]])</f>
        <v>0</v>
      </c>
      <c r="N19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5.2578789213486532</v>
      </c>
    </row>
    <row r="192" spans="1:14" x14ac:dyDescent="0.25">
      <c r="A192">
        <v>0.93</v>
      </c>
      <c r="B192">
        <f t="shared" si="5"/>
        <v>27.341999999999999</v>
      </c>
      <c r="C192">
        <f>(Vin-Table1[[#This Row],[Vout]])*Table1[[#This Row],[Duty]]/(Frequency*Inductance)</f>
        <v>0.5468400000000001</v>
      </c>
      <c r="D192">
        <f>Irms-Table1[[#This Row],[Ripple Current (A)]]</f>
        <v>19.45316</v>
      </c>
      <c r="E192">
        <f>Irms+Table1[[#This Row],[Ripple Current (A)]]</f>
        <v>20.54684</v>
      </c>
      <c r="F192">
        <f>Table1[[#This Row],[Vout]]*(Table1[[#This Row],[Imin]]+Table1[[#This Row],[Ripple Current (A)]])</f>
        <v>546.83999999999992</v>
      </c>
      <c r="G192" s="1">
        <f>Table1[[#This Row],[Pout]]/Frequency</f>
        <v>1.0936799999999998E-2</v>
      </c>
      <c r="H192" s="1">
        <f>Table1[[#This Row],[Duty]]/Frequency</f>
        <v>1.8600000000000001E-5</v>
      </c>
      <c r="I192" s="1">
        <f>Table1[[#This Row],[Pout]]/Vin</f>
        <v>18.599999999999998</v>
      </c>
      <c r="J192" s="1">
        <f>Vin*Table1[[#This Row],[Idc]]*Table1[[#This Row],[Time On]]</f>
        <v>1.0171224E-2</v>
      </c>
      <c r="K192" s="1">
        <f>Table1[[#This Row],[Energy/Cycle]]-Table1[[#This Row],[Edc]]</f>
        <v>7.6557599999999872E-4</v>
      </c>
      <c r="L192" s="1">
        <f>2*Table1[[#This Row],[E Capacitor]]/(Vin^2-(Vin-V_ripple)^2)</f>
        <v>1.042043045512617E-3</v>
      </c>
      <c r="M192" s="1">
        <f>Table1[[#This Row],[Energy/Cycle]]-(Table1[[#This Row],[E Capacitor]]+Table1[[#This Row],[Edc]])</f>
        <v>0</v>
      </c>
      <c r="N19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5.0938491795953267</v>
      </c>
    </row>
    <row r="193" spans="1:14" x14ac:dyDescent="0.25">
      <c r="A193">
        <v>0.93500000000000005</v>
      </c>
      <c r="B193">
        <f t="shared" si="5"/>
        <v>27.489000000000001</v>
      </c>
      <c r="C193">
        <f>(Vin-Table1[[#This Row],[Vout]])*Table1[[#This Row],[Duty]]/(Frequency*Inductance)</f>
        <v>0.51050999999999946</v>
      </c>
      <c r="D193">
        <f>Irms-Table1[[#This Row],[Ripple Current (A)]]</f>
        <v>19.48949</v>
      </c>
      <c r="E193">
        <f>Irms+Table1[[#This Row],[Ripple Current (A)]]</f>
        <v>20.51051</v>
      </c>
      <c r="F193">
        <f>Table1[[#This Row],[Vout]]*(Table1[[#This Row],[Imin]]+Table1[[#This Row],[Ripple Current (A)]])</f>
        <v>549.78</v>
      </c>
      <c r="G193" s="1">
        <f>Table1[[#This Row],[Pout]]/Frequency</f>
        <v>1.0995599999999999E-2</v>
      </c>
      <c r="H193" s="1">
        <f>Table1[[#This Row],[Duty]]/Frequency</f>
        <v>1.8700000000000001E-5</v>
      </c>
      <c r="I193" s="1">
        <f>Table1[[#This Row],[Pout]]/Vin</f>
        <v>18.7</v>
      </c>
      <c r="J193" s="1">
        <f>Vin*Table1[[#This Row],[Idc]]*Table1[[#This Row],[Time On]]</f>
        <v>1.0280885999999999E-2</v>
      </c>
      <c r="K193" s="1">
        <f>Table1[[#This Row],[Energy/Cycle]]-Table1[[#This Row],[Edc]]</f>
        <v>7.1471399999999997E-4</v>
      </c>
      <c r="L193" s="1">
        <f>2*Table1[[#This Row],[E Capacitor]]/(Vin^2-(Vin-V_ripple)^2)</f>
        <v>9.7281361122933039E-4</v>
      </c>
      <c r="M193" s="1">
        <f>Table1[[#This Row],[Energy/Cycle]]-(Table1[[#This Row],[E Capacitor]]+Table1[[#This Row],[Edc]])</f>
        <v>0</v>
      </c>
      <c r="N19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4.9222731831883815</v>
      </c>
    </row>
    <row r="194" spans="1:14" x14ac:dyDescent="0.25">
      <c r="A194">
        <v>0.94</v>
      </c>
      <c r="B194">
        <f t="shared" si="5"/>
        <v>27.635999999999996</v>
      </c>
      <c r="C194">
        <f>(Vin-Table1[[#This Row],[Vout]])*Table1[[#This Row],[Duty]]/(Frequency*Inductance)</f>
        <v>0.47376000000000079</v>
      </c>
      <c r="D194">
        <f>Irms-Table1[[#This Row],[Ripple Current (A)]]</f>
        <v>19.526239999999998</v>
      </c>
      <c r="E194">
        <f>Irms+Table1[[#This Row],[Ripple Current (A)]]</f>
        <v>20.473760000000002</v>
      </c>
      <c r="F194">
        <f>Table1[[#This Row],[Vout]]*(Table1[[#This Row],[Imin]]+Table1[[#This Row],[Ripple Current (A)]])</f>
        <v>552.71999999999991</v>
      </c>
      <c r="G194" s="1">
        <f>Table1[[#This Row],[Pout]]/Frequency</f>
        <v>1.1054399999999999E-2</v>
      </c>
      <c r="H194" s="1">
        <f>Table1[[#This Row],[Duty]]/Frequency</f>
        <v>1.88E-5</v>
      </c>
      <c r="I194" s="1">
        <f>Table1[[#This Row],[Pout]]/Vin</f>
        <v>18.799999999999997</v>
      </c>
      <c r="J194" s="1">
        <f>Vin*Table1[[#This Row],[Idc]]*Table1[[#This Row],[Time On]]</f>
        <v>1.0391135999999999E-2</v>
      </c>
      <c r="K194" s="1">
        <f>Table1[[#This Row],[Energy/Cycle]]-Table1[[#This Row],[Edc]]</f>
        <v>6.6326400000000021E-4</v>
      </c>
      <c r="L194" s="1">
        <f>2*Table1[[#This Row],[E Capacitor]]/(Vin^2-(Vin-V_ripple)^2)</f>
        <v>9.0278383666531059E-4</v>
      </c>
      <c r="M194" s="1">
        <f>Table1[[#This Row],[Energy/Cycle]]-(Table1[[#This Row],[E Capacitor]]+Table1[[#This Row],[Edc]])</f>
        <v>0</v>
      </c>
      <c r="N19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4.742327781960249</v>
      </c>
    </row>
    <row r="195" spans="1:14" x14ac:dyDescent="0.25">
      <c r="A195">
        <v>0.94499999999999995</v>
      </c>
      <c r="B195">
        <f t="shared" si="5"/>
        <v>27.782999999999998</v>
      </c>
      <c r="C195">
        <f>(Vin-Table1[[#This Row],[Vout]])*Table1[[#This Row],[Duty]]/(Frequency*Inductance)</f>
        <v>0.43659000000000026</v>
      </c>
      <c r="D195">
        <f>Irms-Table1[[#This Row],[Ripple Current (A)]]</f>
        <v>19.563410000000001</v>
      </c>
      <c r="E195">
        <f>Irms+Table1[[#This Row],[Ripple Current (A)]]</f>
        <v>20.436589999999999</v>
      </c>
      <c r="F195">
        <f>Table1[[#This Row],[Vout]]*(Table1[[#This Row],[Imin]]+Table1[[#This Row],[Ripple Current (A)]])</f>
        <v>555.66</v>
      </c>
      <c r="G195" s="1">
        <f>Table1[[#This Row],[Pout]]/Frequency</f>
        <v>1.11132E-2</v>
      </c>
      <c r="H195" s="1">
        <f>Table1[[#This Row],[Duty]]/Frequency</f>
        <v>1.8899999999999999E-5</v>
      </c>
      <c r="I195" s="1">
        <f>Table1[[#This Row],[Pout]]/Vin</f>
        <v>18.899999999999999</v>
      </c>
      <c r="J195" s="1">
        <f>Vin*Table1[[#This Row],[Idc]]*Table1[[#This Row],[Time On]]</f>
        <v>1.0501973999999999E-2</v>
      </c>
      <c r="K195" s="1">
        <f>Table1[[#This Row],[Energy/Cycle]]-Table1[[#This Row],[Edc]]</f>
        <v>6.1122600000000117E-4</v>
      </c>
      <c r="L195" s="1">
        <f>2*Table1[[#This Row],[E Capacitor]]/(Vin^2-(Vin-V_ripple)^2)</f>
        <v>8.3195372182056011E-4</v>
      </c>
      <c r="M195" s="1">
        <f>Table1[[#This Row],[Energy/Cycle]]-(Table1[[#This Row],[E Capacitor]]+Table1[[#This Row],[Edc]])</f>
        <v>0</v>
      </c>
      <c r="N19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4.553016317689683</v>
      </c>
    </row>
    <row r="196" spans="1:14" x14ac:dyDescent="0.25">
      <c r="A196">
        <v>0.95</v>
      </c>
      <c r="B196">
        <f t="shared" si="5"/>
        <v>27.929999999999996</v>
      </c>
      <c r="C196">
        <f>(Vin-Table1[[#This Row],[Vout]])*Table1[[#This Row],[Duty]]/(Frequency*Inductance)</f>
        <v>0.39900000000000069</v>
      </c>
      <c r="D196">
        <f>Irms-Table1[[#This Row],[Ripple Current (A)]]</f>
        <v>19.600999999999999</v>
      </c>
      <c r="E196">
        <f>Irms+Table1[[#This Row],[Ripple Current (A)]]</f>
        <v>20.399000000000001</v>
      </c>
      <c r="F196">
        <f>Table1[[#This Row],[Vout]]*(Table1[[#This Row],[Imin]]+Table1[[#This Row],[Ripple Current (A)]])</f>
        <v>558.59999999999991</v>
      </c>
      <c r="G196" s="1">
        <f>Table1[[#This Row],[Pout]]/Frequency</f>
        <v>1.1171999999999998E-2</v>
      </c>
      <c r="H196" s="1">
        <f>Table1[[#This Row],[Duty]]/Frequency</f>
        <v>1.8999999999999998E-5</v>
      </c>
      <c r="I196" s="1">
        <f>Table1[[#This Row],[Pout]]/Vin</f>
        <v>18.999999999999996</v>
      </c>
      <c r="J196" s="1">
        <f>Vin*Table1[[#This Row],[Idc]]*Table1[[#This Row],[Time On]]</f>
        <v>1.0613399999999997E-2</v>
      </c>
      <c r="K196" s="1">
        <f>Table1[[#This Row],[Energy/Cycle]]-Table1[[#This Row],[Edc]]</f>
        <v>5.5860000000000111E-4</v>
      </c>
      <c r="L196" s="1">
        <f>2*Table1[[#This Row],[E Capacitor]]/(Vin^2-(Vin-V_ripple)^2)</f>
        <v>7.6032326669507664E-4</v>
      </c>
      <c r="M196" s="1">
        <f>Table1[[#This Row],[Energy/Cycle]]-(Table1[[#This Row],[E Capacitor]]+Table1[[#This Row],[Edc]])</f>
        <v>0</v>
      </c>
      <c r="N19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4.3531122602110797</v>
      </c>
    </row>
    <row r="197" spans="1:14" x14ac:dyDescent="0.25">
      <c r="A197">
        <v>0.95499999999999996</v>
      </c>
      <c r="B197">
        <f t="shared" si="5"/>
        <v>28.076999999999998</v>
      </c>
      <c r="C197">
        <f>(Vin-Table1[[#This Row],[Vout]])*Table1[[#This Row],[Duty]]/(Frequency*Inductance)</f>
        <v>0.36099000000000014</v>
      </c>
      <c r="D197">
        <f>Irms-Table1[[#This Row],[Ripple Current (A)]]</f>
        <v>19.639009999999999</v>
      </c>
      <c r="E197">
        <f>Irms+Table1[[#This Row],[Ripple Current (A)]]</f>
        <v>20.360990000000001</v>
      </c>
      <c r="F197">
        <f>Table1[[#This Row],[Vout]]*(Table1[[#This Row],[Imin]]+Table1[[#This Row],[Ripple Current (A)]])</f>
        <v>561.54</v>
      </c>
      <c r="G197" s="1">
        <f>Table1[[#This Row],[Pout]]/Frequency</f>
        <v>1.1230799999999999E-2</v>
      </c>
      <c r="H197" s="1">
        <f>Table1[[#This Row],[Duty]]/Frequency</f>
        <v>1.91E-5</v>
      </c>
      <c r="I197" s="1">
        <f>Table1[[#This Row],[Pout]]/Vin</f>
        <v>19.100000000000001</v>
      </c>
      <c r="J197" s="1">
        <f>Vin*Table1[[#This Row],[Idc]]*Table1[[#This Row],[Time On]]</f>
        <v>1.0725413999999999E-2</v>
      </c>
      <c r="K197" s="1">
        <f>Table1[[#This Row],[Energy/Cycle]]-Table1[[#This Row],[Edc]]</f>
        <v>5.0538600000000003E-4</v>
      </c>
      <c r="L197" s="1">
        <f>2*Table1[[#This Row],[E Capacitor]]/(Vin^2-(Vin-V_ripple)^2)</f>
        <v>6.878924712888601E-4</v>
      </c>
      <c r="M197" s="1">
        <f>Table1[[#This Row],[Energy/Cycle]]-(Table1[[#This Row],[E Capacitor]]+Table1[[#This Row],[Edc]])</f>
        <v>0</v>
      </c>
      <c r="N197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4.1410767657701681</v>
      </c>
    </row>
    <row r="198" spans="1:14" x14ac:dyDescent="0.25">
      <c r="A198">
        <v>0.96</v>
      </c>
      <c r="B198">
        <f t="shared" si="5"/>
        <v>28.223999999999997</v>
      </c>
      <c r="C198">
        <f>(Vin-Table1[[#This Row],[Vout]])*Table1[[#This Row],[Duty]]/(Frequency*Inductance)</f>
        <v>0.32256000000000051</v>
      </c>
      <c r="D198">
        <f>Irms-Table1[[#This Row],[Ripple Current (A)]]</f>
        <v>19.677440000000001</v>
      </c>
      <c r="E198">
        <f>Irms+Table1[[#This Row],[Ripple Current (A)]]</f>
        <v>20.322559999999999</v>
      </c>
      <c r="F198">
        <f>Table1[[#This Row],[Vout]]*(Table1[[#This Row],[Imin]]+Table1[[#This Row],[Ripple Current (A)]])</f>
        <v>564.4799999999999</v>
      </c>
      <c r="G198" s="1">
        <f>Table1[[#This Row],[Pout]]/Frequency</f>
        <v>1.1289599999999999E-2</v>
      </c>
      <c r="H198" s="1">
        <f>Table1[[#This Row],[Duty]]/Frequency</f>
        <v>1.9199999999999999E-5</v>
      </c>
      <c r="I198" s="1">
        <f>Table1[[#This Row],[Pout]]/Vin</f>
        <v>19.2</v>
      </c>
      <c r="J198" s="1">
        <f>Vin*Table1[[#This Row],[Idc]]*Table1[[#This Row],[Time On]]</f>
        <v>1.0838015999999997E-2</v>
      </c>
      <c r="K198" s="1">
        <f>Table1[[#This Row],[Energy/Cycle]]-Table1[[#This Row],[Edc]]</f>
        <v>4.515840000000014E-4</v>
      </c>
      <c r="L198" s="1">
        <f>2*Table1[[#This Row],[E Capacitor]]/(Vin^2-(Vin-V_ripple)^2)</f>
        <v>6.1466133560191525E-4</v>
      </c>
      <c r="M198" s="1">
        <f>Table1[[#This Row],[Energy/Cycle]]-(Table1[[#This Row],[E Capacitor]]+Table1[[#This Row],[Edc]])</f>
        <v>0</v>
      </c>
      <c r="N198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3.9149336667238712</v>
      </c>
    </row>
    <row r="199" spans="1:14" x14ac:dyDescent="0.25">
      <c r="A199">
        <v>0.96499999999999997</v>
      </c>
      <c r="B199">
        <f t="shared" ref="B199:B206" si="6">A199*Vin</f>
        <v>28.370999999999999</v>
      </c>
      <c r="C199">
        <f>(Vin-Table1[[#This Row],[Vout]])*Table1[[#This Row],[Duty]]/(Frequency*Inductance)</f>
        <v>0.28371000000000002</v>
      </c>
      <c r="D199">
        <f>Irms-Table1[[#This Row],[Ripple Current (A)]]</f>
        <v>19.716290000000001</v>
      </c>
      <c r="E199">
        <f>Irms+Table1[[#This Row],[Ripple Current (A)]]</f>
        <v>20.283709999999999</v>
      </c>
      <c r="F199">
        <f>Table1[[#This Row],[Vout]]*(Table1[[#This Row],[Imin]]+Table1[[#This Row],[Ripple Current (A)]])</f>
        <v>567.41999999999996</v>
      </c>
      <c r="G199" s="1">
        <f>Table1[[#This Row],[Pout]]/Frequency</f>
        <v>1.13484E-2</v>
      </c>
      <c r="H199" s="1">
        <f>Table1[[#This Row],[Duty]]/Frequency</f>
        <v>1.9299999999999998E-5</v>
      </c>
      <c r="I199" s="1">
        <f>Table1[[#This Row],[Pout]]/Vin</f>
        <v>19.3</v>
      </c>
      <c r="J199" s="1">
        <f>Vin*Table1[[#This Row],[Idc]]*Table1[[#This Row],[Time On]]</f>
        <v>1.0951205999999998E-2</v>
      </c>
      <c r="K199" s="1">
        <f>Table1[[#This Row],[Energy/Cycle]]-Table1[[#This Row],[Edc]]</f>
        <v>3.9719400000000175E-4</v>
      </c>
      <c r="L199" s="1">
        <f>2*Table1[[#This Row],[E Capacitor]]/(Vin^2-(Vin-V_ripple)^2)</f>
        <v>5.4062985963423743E-4</v>
      </c>
      <c r="M199" s="1">
        <f>Table1[[#This Row],[Energy/Cycle]]-(Table1[[#This Row],[E Capacitor]]+Table1[[#This Row],[Edc]])</f>
        <v>0</v>
      </c>
      <c r="N199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3.6720714332940898</v>
      </c>
    </row>
    <row r="200" spans="1:14" x14ac:dyDescent="0.25">
      <c r="A200">
        <v>0.97</v>
      </c>
      <c r="B200">
        <f t="shared" si="6"/>
        <v>28.517999999999997</v>
      </c>
      <c r="C200">
        <f>(Vin-Table1[[#This Row],[Vout]])*Table1[[#This Row],[Duty]]/(Frequency*Inductance)</f>
        <v>0.24444000000000043</v>
      </c>
      <c r="D200">
        <f>Irms-Table1[[#This Row],[Ripple Current (A)]]</f>
        <v>19.755559999999999</v>
      </c>
      <c r="E200">
        <f>Irms+Table1[[#This Row],[Ripple Current (A)]]</f>
        <v>20.244440000000001</v>
      </c>
      <c r="F200">
        <f>Table1[[#This Row],[Vout]]*(Table1[[#This Row],[Imin]]+Table1[[#This Row],[Ripple Current (A)]])</f>
        <v>570.3599999999999</v>
      </c>
      <c r="G200" s="1">
        <f>Table1[[#This Row],[Pout]]/Frequency</f>
        <v>1.1407199999999998E-2</v>
      </c>
      <c r="H200" s="1">
        <f>Table1[[#This Row],[Duty]]/Frequency</f>
        <v>1.9400000000000001E-5</v>
      </c>
      <c r="I200" s="1">
        <f>Table1[[#This Row],[Pout]]/Vin</f>
        <v>19.399999999999999</v>
      </c>
      <c r="J200" s="1">
        <f>Vin*Table1[[#This Row],[Idc]]*Table1[[#This Row],[Time On]]</f>
        <v>1.1064983999999998E-2</v>
      </c>
      <c r="K200" s="1">
        <f>Table1[[#This Row],[Energy/Cycle]]-Table1[[#This Row],[Edc]]</f>
        <v>3.4221599999999935E-4</v>
      </c>
      <c r="L200" s="1">
        <f>2*Table1[[#This Row],[E Capacitor]]/(Vin^2-(Vin-V_ripple)^2)</f>
        <v>4.6579804338582414E-4</v>
      </c>
      <c r="M200" s="1">
        <f>Table1[[#This Row],[Energy/Cycle]]-(Table1[[#This Row],[E Capacitor]]+Table1[[#This Row],[Edc]])</f>
        <v>0</v>
      </c>
      <c r="N200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3.4089119287444212</v>
      </c>
    </row>
    <row r="201" spans="1:14" x14ac:dyDescent="0.25">
      <c r="A201">
        <v>0.97499999999999998</v>
      </c>
      <c r="B201">
        <f t="shared" si="6"/>
        <v>28.664999999999999</v>
      </c>
      <c r="C201">
        <f>(Vin-Table1[[#This Row],[Vout]])*Table1[[#This Row],[Duty]]/(Frequency*Inductance)</f>
        <v>0.20474999999999985</v>
      </c>
      <c r="D201">
        <f>Irms-Table1[[#This Row],[Ripple Current (A)]]</f>
        <v>19.795249999999999</v>
      </c>
      <c r="E201">
        <f>Irms+Table1[[#This Row],[Ripple Current (A)]]</f>
        <v>20.204750000000001</v>
      </c>
      <c r="F201">
        <f>Table1[[#This Row],[Vout]]*(Table1[[#This Row],[Imin]]+Table1[[#This Row],[Ripple Current (A)]])</f>
        <v>573.29999999999995</v>
      </c>
      <c r="G201" s="1">
        <f>Table1[[#This Row],[Pout]]/Frequency</f>
        <v>1.1465999999999999E-2</v>
      </c>
      <c r="H201" s="1">
        <f>Table1[[#This Row],[Duty]]/Frequency</f>
        <v>1.95E-5</v>
      </c>
      <c r="I201" s="1">
        <f>Table1[[#This Row],[Pout]]/Vin</f>
        <v>19.5</v>
      </c>
      <c r="J201" s="1">
        <f>Vin*Table1[[#This Row],[Idc]]*Table1[[#This Row],[Time On]]</f>
        <v>1.1179349999999999E-2</v>
      </c>
      <c r="K201" s="1">
        <f>Table1[[#This Row],[Energy/Cycle]]-Table1[[#This Row],[Edc]]</f>
        <v>2.8664999999999941E-4</v>
      </c>
      <c r="L201" s="1">
        <f>2*Table1[[#This Row],[E Capacitor]]/(Vin^2-(Vin-V_ripple)^2)</f>
        <v>3.9016588685668248E-4</v>
      </c>
      <c r="M201" s="1">
        <f>Table1[[#This Row],[Energy/Cycle]]-(Table1[[#This Row],[E Capacitor]]+Table1[[#This Row],[Edc]])</f>
        <v>0</v>
      </c>
      <c r="N201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3.1203165171481415</v>
      </c>
    </row>
    <row r="202" spans="1:14" x14ac:dyDescent="0.25">
      <c r="A202">
        <v>0.98</v>
      </c>
      <c r="B202">
        <f t="shared" si="6"/>
        <v>28.811999999999998</v>
      </c>
      <c r="C202">
        <f>(Vin-Table1[[#This Row],[Vout]])*Table1[[#This Row],[Duty]]/(Frequency*Inductance)</f>
        <v>0.16464000000000029</v>
      </c>
      <c r="D202">
        <f>Irms-Table1[[#This Row],[Ripple Current (A)]]</f>
        <v>19.835360000000001</v>
      </c>
      <c r="E202">
        <f>Irms+Table1[[#This Row],[Ripple Current (A)]]</f>
        <v>20.164639999999999</v>
      </c>
      <c r="F202">
        <f>Table1[[#This Row],[Vout]]*(Table1[[#This Row],[Imin]]+Table1[[#This Row],[Ripple Current (A)]])</f>
        <v>576.24</v>
      </c>
      <c r="G202" s="1">
        <f>Table1[[#This Row],[Pout]]/Frequency</f>
        <v>1.15248E-2</v>
      </c>
      <c r="H202" s="1">
        <f>Table1[[#This Row],[Duty]]/Frequency</f>
        <v>1.9599999999999999E-5</v>
      </c>
      <c r="I202" s="1">
        <f>Table1[[#This Row],[Pout]]/Vin</f>
        <v>19.600000000000001</v>
      </c>
      <c r="J202" s="1">
        <f>Vin*Table1[[#This Row],[Idc]]*Table1[[#This Row],[Time On]]</f>
        <v>1.1294304E-2</v>
      </c>
      <c r="K202" s="1">
        <f>Table1[[#This Row],[Energy/Cycle]]-Table1[[#This Row],[Edc]]</f>
        <v>2.3049600000000017E-4</v>
      </c>
      <c r="L202" s="1">
        <f>2*Table1[[#This Row],[E Capacitor]]/(Vin^2-(Vin-V_ripple)^2)</f>
        <v>3.1373339004681018E-4</v>
      </c>
      <c r="M202" s="1">
        <f>Table1[[#This Row],[Energy/Cycle]]-(Table1[[#This Row],[E Capacitor]]+Table1[[#This Row],[Edc]])</f>
        <v>0</v>
      </c>
      <c r="N202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2.7984183507231379</v>
      </c>
    </row>
    <row r="203" spans="1:14" x14ac:dyDescent="0.25">
      <c r="A203">
        <v>0.98499999999999999</v>
      </c>
      <c r="B203">
        <f t="shared" si="6"/>
        <v>28.959</v>
      </c>
      <c r="C203">
        <f>(Vin-Table1[[#This Row],[Vout]])*Table1[[#This Row],[Duty]]/(Frequency*Inductance)</f>
        <v>0.12410999999999972</v>
      </c>
      <c r="D203">
        <f>Irms-Table1[[#This Row],[Ripple Current (A)]]</f>
        <v>19.875890000000002</v>
      </c>
      <c r="E203">
        <f>Irms+Table1[[#This Row],[Ripple Current (A)]]</f>
        <v>20.124109999999998</v>
      </c>
      <c r="F203">
        <f>Table1[[#This Row],[Vout]]*(Table1[[#This Row],[Imin]]+Table1[[#This Row],[Ripple Current (A)]])</f>
        <v>579.17999999999995</v>
      </c>
      <c r="G203" s="1">
        <f>Table1[[#This Row],[Pout]]/Frequency</f>
        <v>1.1583599999999999E-2</v>
      </c>
      <c r="H203" s="1">
        <f>Table1[[#This Row],[Duty]]/Frequency</f>
        <v>1.9700000000000001E-5</v>
      </c>
      <c r="I203" s="1">
        <f>Table1[[#This Row],[Pout]]/Vin</f>
        <v>19.7</v>
      </c>
      <c r="J203" s="1">
        <f>Vin*Table1[[#This Row],[Idc]]*Table1[[#This Row],[Time On]]</f>
        <v>1.1409846E-2</v>
      </c>
      <c r="K203" s="1">
        <f>Table1[[#This Row],[Energy/Cycle]]-Table1[[#This Row],[Edc]]</f>
        <v>1.7375399999999992E-4</v>
      </c>
      <c r="L203" s="1">
        <f>2*Table1[[#This Row],[E Capacitor]]/(Vin^2-(Vin-V_ripple)^2)</f>
        <v>2.3650055295620486E-4</v>
      </c>
      <c r="M203" s="1">
        <f>Table1[[#This Row],[Energy/Cycle]]-(Table1[[#This Row],[E Capacitor]]+Table1[[#This Row],[Edc]])</f>
        <v>0</v>
      </c>
      <c r="N203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2.4300087624863633</v>
      </c>
    </row>
    <row r="204" spans="1:14" x14ac:dyDescent="0.25">
      <c r="A204">
        <v>0.99</v>
      </c>
      <c r="B204">
        <f t="shared" si="6"/>
        <v>29.105999999999998</v>
      </c>
      <c r="C204">
        <f>(Vin-Table1[[#This Row],[Vout]])*Table1[[#This Row],[Duty]]/(Frequency*Inductance)</f>
        <v>8.316000000000015E-2</v>
      </c>
      <c r="D204">
        <f>Irms-Table1[[#This Row],[Ripple Current (A)]]</f>
        <v>19.916840000000001</v>
      </c>
      <c r="E204">
        <f>Irms+Table1[[#This Row],[Ripple Current (A)]]</f>
        <v>20.083159999999999</v>
      </c>
      <c r="F204">
        <f>Table1[[#This Row],[Vout]]*(Table1[[#This Row],[Imin]]+Table1[[#This Row],[Ripple Current (A)]])</f>
        <v>582.12</v>
      </c>
      <c r="G204" s="1">
        <f>Table1[[#This Row],[Pout]]/Frequency</f>
        <v>1.1642400000000001E-2</v>
      </c>
      <c r="H204" s="1">
        <f>Table1[[#This Row],[Duty]]/Frequency</f>
        <v>1.98E-5</v>
      </c>
      <c r="I204" s="1">
        <f>Table1[[#This Row],[Pout]]/Vin</f>
        <v>19.8</v>
      </c>
      <c r="J204" s="1">
        <f>Vin*Table1[[#This Row],[Idc]]*Table1[[#This Row],[Time On]]</f>
        <v>1.1525976E-2</v>
      </c>
      <c r="K204" s="1">
        <f>Table1[[#This Row],[Energy/Cycle]]-Table1[[#This Row],[Edc]]</f>
        <v>1.1642400000000039E-4</v>
      </c>
      <c r="L204" s="1">
        <f>2*Table1[[#This Row],[E Capacitor]]/(Vin^2-(Vin-V_ripple)^2)</f>
        <v>1.5846737558486881E-4</v>
      </c>
      <c r="M204" s="1">
        <f>Table1[[#This Row],[Energy/Cycle]]-(Table1[[#This Row],[E Capacitor]]+Table1[[#This Row],[Edc]])</f>
        <v>0</v>
      </c>
      <c r="N204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1.9894013815095242</v>
      </c>
    </row>
    <row r="205" spans="1:14" x14ac:dyDescent="0.25">
      <c r="A205">
        <v>0.995</v>
      </c>
      <c r="B205">
        <f t="shared" si="6"/>
        <v>29.253</v>
      </c>
      <c r="C205">
        <f>(Vin-Table1[[#This Row],[Vout]])*Table1[[#This Row],[Duty]]/(Frequency*Inductance)</f>
        <v>4.1789999999999571E-2</v>
      </c>
      <c r="D205">
        <f>Irms-Table1[[#This Row],[Ripple Current (A)]]</f>
        <v>19.958210000000001</v>
      </c>
      <c r="E205">
        <f>Irms+Table1[[#This Row],[Ripple Current (A)]]</f>
        <v>20.041789999999999</v>
      </c>
      <c r="F205">
        <f>Table1[[#This Row],[Vout]]*(Table1[[#This Row],[Imin]]+Table1[[#This Row],[Ripple Current (A)]])</f>
        <v>585.05999999999995</v>
      </c>
      <c r="G205" s="1">
        <f>Table1[[#This Row],[Pout]]/Frequency</f>
        <v>1.1701199999999998E-2</v>
      </c>
      <c r="H205" s="1">
        <f>Table1[[#This Row],[Duty]]/Frequency</f>
        <v>1.9899999999999999E-5</v>
      </c>
      <c r="I205" s="1">
        <f>Table1[[#This Row],[Pout]]/Vin</f>
        <v>19.899999999999999</v>
      </c>
      <c r="J205" s="1">
        <f>Vin*Table1[[#This Row],[Idc]]*Table1[[#This Row],[Time On]]</f>
        <v>1.1642693999999999E-2</v>
      </c>
      <c r="K205" s="1">
        <f>Table1[[#This Row],[Energy/Cycle]]-Table1[[#This Row],[Edc]]</f>
        <v>5.8505999999999836E-5</v>
      </c>
      <c r="L205" s="1">
        <f>2*Table1[[#This Row],[E Capacitor]]/(Vin^2-(Vin-V_ripple)^2)</f>
        <v>7.9633857932799755E-5</v>
      </c>
      <c r="M205" s="1">
        <f>Table1[[#This Row],[Energy/Cycle]]-(Table1[[#This Row],[E Capacitor]]+Table1[[#This Row],[Edc]])</f>
        <v>0</v>
      </c>
      <c r="N205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1.410468282512408</v>
      </c>
    </row>
    <row r="206" spans="1:14" x14ac:dyDescent="0.25">
      <c r="A206">
        <v>1</v>
      </c>
      <c r="B206">
        <f t="shared" si="6"/>
        <v>29.4</v>
      </c>
      <c r="C206">
        <f>(Vin-Table1[[#This Row],[Vout]])*Table1[[#This Row],[Duty]]/(Frequency*Inductance)</f>
        <v>0</v>
      </c>
      <c r="D206">
        <f>Irms-Table1[[#This Row],[Ripple Current (A)]]</f>
        <v>20</v>
      </c>
      <c r="E206">
        <f>Irms+Table1[[#This Row],[Ripple Current (A)]]</f>
        <v>20</v>
      </c>
      <c r="F206">
        <f>Table1[[#This Row],[Vout]]*(Table1[[#This Row],[Imin]]+Table1[[#This Row],[Ripple Current (A)]])</f>
        <v>588</v>
      </c>
      <c r="G206" s="1">
        <f>Table1[[#This Row],[Pout]]/Frequency</f>
        <v>1.176E-2</v>
      </c>
      <c r="H206" s="1">
        <f>Table1[[#This Row],[Duty]]/Frequency</f>
        <v>2.0000000000000002E-5</v>
      </c>
      <c r="I206" s="1">
        <f>Table1[[#This Row],[Pout]]/Vin</f>
        <v>20</v>
      </c>
      <c r="J206" s="1">
        <f>Vin*Table1[[#This Row],[Idc]]*Table1[[#This Row],[Time On]]</f>
        <v>1.1760000000000001E-2</v>
      </c>
      <c r="K206" s="1">
        <f>Table1[[#This Row],[Energy/Cycle]]-Table1[[#This Row],[Edc]]</f>
        <v>0</v>
      </c>
      <c r="L206" s="1">
        <f>2*Table1[[#This Row],[E Capacitor]]/(Vin^2-(Vin-V_ripple)^2)</f>
        <v>0</v>
      </c>
      <c r="M206" s="1">
        <f>Table1[[#This Row],[Energy/Cycle]]-(Table1[[#This Row],[E Capacitor]]+Table1[[#This Row],[Edc]])</f>
        <v>0</v>
      </c>
      <c r="N206" s="1">
        <f>SQRT(((Table1[[#This Row],[Imin]]-Table1[[#This Row],[Idc]])^2+2*Table1[[#This Row],[Ripple Current (A)]]*(Table1[[#This Row],[Imin]]-Table1[[#This Row],[Idc]])+(2/3)*Table1[[#This Row],[Ripple Current (A)]]^2)*Table1[[#This Row],[Duty]]+Table1[[#This Row],[Idc]]^2*(1-Table1[[#This Row],[Duty]]))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0461-3A81-4FAA-9965-497116CB844E}">
  <dimension ref="A1:M27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12" bestFit="1" customWidth="1"/>
  </cols>
  <sheetData>
    <row r="1" spans="1:13" x14ac:dyDescent="0.25">
      <c r="A1" t="s">
        <v>46</v>
      </c>
      <c r="B1" s="1">
        <v>30000</v>
      </c>
    </row>
    <row r="2" spans="1:13" x14ac:dyDescent="0.25">
      <c r="A2" t="s">
        <v>47</v>
      </c>
      <c r="B2">
        <v>10</v>
      </c>
    </row>
    <row r="3" spans="1:13" x14ac:dyDescent="0.25">
      <c r="A3" t="s">
        <v>34</v>
      </c>
      <c r="E3" t="s">
        <v>42</v>
      </c>
      <c r="I3" t="s">
        <v>43</v>
      </c>
      <c r="L3" t="s">
        <v>44</v>
      </c>
    </row>
    <row r="4" spans="1:13" x14ac:dyDescent="0.25">
      <c r="A4" t="s">
        <v>57</v>
      </c>
      <c r="B4">
        <v>8.6</v>
      </c>
      <c r="E4">
        <v>12.4</v>
      </c>
      <c r="I4">
        <f>6.4*2</f>
        <v>12.8</v>
      </c>
      <c r="L4">
        <f>4.6*2</f>
        <v>9.1999999999999993</v>
      </c>
    </row>
    <row r="5" spans="1:13" x14ac:dyDescent="0.25">
      <c r="A5" t="s">
        <v>35</v>
      </c>
      <c r="B5" s="1">
        <v>6.3299999999999999E-10</v>
      </c>
      <c r="E5" s="1">
        <v>1E-8</v>
      </c>
      <c r="I5" s="1">
        <v>1E-8</v>
      </c>
      <c r="L5" s="1">
        <v>1E-8</v>
      </c>
    </row>
    <row r="6" spans="1:13" x14ac:dyDescent="0.25">
      <c r="A6" t="s">
        <v>36</v>
      </c>
      <c r="B6" s="1">
        <f>B5+0.000000006*B4</f>
        <v>5.2233000000000002E-8</v>
      </c>
      <c r="E6" s="1">
        <f>E5+0.000000006*E4</f>
        <v>8.4400000000000001E-8</v>
      </c>
      <c r="I6" s="1">
        <f>I5+0.000000006*I4</f>
        <v>8.6799999999999996E-8</v>
      </c>
      <c r="L6" s="1">
        <f>L5+0.000000006*L4</f>
        <v>6.5200000000000001E-8</v>
      </c>
    </row>
    <row r="7" spans="1:13" x14ac:dyDescent="0.25">
      <c r="A7" t="s">
        <v>41</v>
      </c>
      <c r="B7" s="1">
        <v>5.0000000000000002E-5</v>
      </c>
      <c r="E7" s="1">
        <v>4.7000000000000002E-3</v>
      </c>
      <c r="I7" s="1">
        <v>4.7000000000000002E-3</v>
      </c>
      <c r="L7" s="1">
        <v>4.7000000000000002E-3</v>
      </c>
    </row>
    <row r="8" spans="1:13" x14ac:dyDescent="0.25">
      <c r="A8" t="s">
        <v>37</v>
      </c>
      <c r="B8" s="1">
        <v>40</v>
      </c>
      <c r="E8" s="1">
        <v>1</v>
      </c>
      <c r="I8" s="1">
        <v>1</v>
      </c>
      <c r="L8" s="1">
        <v>1</v>
      </c>
    </row>
    <row r="9" spans="1:13" x14ac:dyDescent="0.25">
      <c r="B9" t="s">
        <v>39</v>
      </c>
      <c r="C9" t="s">
        <v>40</v>
      </c>
    </row>
    <row r="10" spans="1:13" x14ac:dyDescent="0.25">
      <c r="A10" t="s">
        <v>38</v>
      </c>
      <c r="B10">
        <v>8.0000000000000002E-3</v>
      </c>
      <c r="C10">
        <v>2E-3</v>
      </c>
      <c r="E10" s="1">
        <v>4.4999999999999998E-2</v>
      </c>
      <c r="I10" s="1">
        <v>4.4999999999999998E-2</v>
      </c>
      <c r="L10" s="1">
        <v>4.4999999999999998E-2</v>
      </c>
    </row>
    <row r="12" spans="1:13" x14ac:dyDescent="0.25">
      <c r="A12" t="s">
        <v>45</v>
      </c>
      <c r="B12">
        <f>C10</f>
        <v>2E-3</v>
      </c>
      <c r="C12" s="1">
        <f>2*PI()*Freq*B6-1/(2*PI()*Freq*B7)</f>
        <v>-9.6257606850099556E-2</v>
      </c>
      <c r="E12" s="1">
        <f>E10</f>
        <v>4.4999999999999998E-2</v>
      </c>
      <c r="F12" s="1">
        <f>2*PI()*Freq*E6-1/(2*PI()*Freq*E7)</f>
        <v>1.4780266736134065E-2</v>
      </c>
      <c r="I12" s="1">
        <f>I10</f>
        <v>4.4999999999999998E-2</v>
      </c>
      <c r="J12" s="1">
        <f>2*PI()*Freq*I6-1/(2*PI()*Freq*I7)</f>
        <v>1.5232656078250995E-2</v>
      </c>
      <c r="L12" s="1">
        <f>L10</f>
        <v>4.4999999999999998E-2</v>
      </c>
      <c r="M12" s="1">
        <f>2*PI()*Freq*L6-1/(2*PI()*Freq*L7)</f>
        <v>1.1161151999198623E-2</v>
      </c>
    </row>
    <row r="13" spans="1:13" x14ac:dyDescent="0.25">
      <c r="B13" s="5" t="str">
        <f>COMPLEX(B12,C12,"j")</f>
        <v>0.002-0.0962576068500996j</v>
      </c>
      <c r="E13" s="5" t="str">
        <f>COMPLEX(E12,F12,"j")</f>
        <v>0.045+0.0147802667361341j</v>
      </c>
      <c r="I13" s="5" t="str">
        <f>COMPLEX(I12,J12,"j")</f>
        <v>0.045+0.015232656078251j</v>
      </c>
      <c r="L13" s="5" t="str">
        <f>COMPLEX(L12,M12,"j")</f>
        <v>0.045+0.0111611519991986j</v>
      </c>
    </row>
    <row r="14" spans="1:13" x14ac:dyDescent="0.25">
      <c r="A14" t="s">
        <v>52</v>
      </c>
      <c r="B14">
        <v>9.6299999999999997E-2</v>
      </c>
      <c r="E14">
        <v>4.7E-2</v>
      </c>
      <c r="I14">
        <v>4.7500000000000001E-2</v>
      </c>
      <c r="L14">
        <v>4.6300000000000001E-2</v>
      </c>
    </row>
    <row r="15" spans="1:13" x14ac:dyDescent="0.25">
      <c r="A15" t="s">
        <v>53</v>
      </c>
      <c r="B15">
        <f>Curr*$B$24/B$14</f>
        <v>0.25752855659397716</v>
      </c>
      <c r="E15">
        <f>Curr*$B$24/E$14</f>
        <v>0.52765957446808509</v>
      </c>
      <c r="I15">
        <f>Curr*$B$24/I$14</f>
        <v>0.52210526315789474</v>
      </c>
      <c r="L15">
        <f>Curr*$B$24/L$14</f>
        <v>0.53563714902807769</v>
      </c>
    </row>
    <row r="16" spans="1:13" x14ac:dyDescent="0.25">
      <c r="A16" t="s">
        <v>55</v>
      </c>
      <c r="B16">
        <f>B15^2*B12</f>
        <v>1.326419149227546E-4</v>
      </c>
      <c r="E16">
        <f>E15^2*E12</f>
        <v>1.2529108193752827E-2</v>
      </c>
      <c r="I16">
        <f>I15^2*I12</f>
        <v>1.2266725761772852E-2</v>
      </c>
      <c r="L16">
        <f>L15^2*L12</f>
        <v>1.2910821993851719E-2</v>
      </c>
    </row>
    <row r="19" spans="1:9" x14ac:dyDescent="0.25">
      <c r="A19" t="s">
        <v>49</v>
      </c>
      <c r="B19" s="1">
        <v>5.0000000000000002E-5</v>
      </c>
      <c r="C19" s="1">
        <v>-2.405E-3</v>
      </c>
    </row>
    <row r="20" spans="1:9" x14ac:dyDescent="0.25">
      <c r="A20" t="s">
        <v>51</v>
      </c>
      <c r="B20" s="1">
        <v>2.4099999999999998E-3</v>
      </c>
    </row>
    <row r="21" spans="1:9" x14ac:dyDescent="0.25">
      <c r="A21" t="s">
        <v>53</v>
      </c>
      <c r="B21">
        <f>Curr*B24/B20</f>
        <v>10.29045643153527</v>
      </c>
    </row>
    <row r="22" spans="1:9" x14ac:dyDescent="0.25">
      <c r="E22" t="s">
        <v>56</v>
      </c>
      <c r="H22" t="s">
        <v>58</v>
      </c>
    </row>
    <row r="23" spans="1:9" x14ac:dyDescent="0.25">
      <c r="A23" t="s">
        <v>48</v>
      </c>
      <c r="B23" s="1">
        <v>4.28E-4</v>
      </c>
      <c r="C23">
        <v>-2.44</v>
      </c>
      <c r="E23">
        <v>1.4999999999999999E-2</v>
      </c>
      <c r="F23">
        <v>4.1700000000000001E-3</v>
      </c>
      <c r="H23" s="1">
        <v>1.6069E-2</v>
      </c>
      <c r="I23" s="1">
        <v>2.1440000000000001E-3</v>
      </c>
    </row>
    <row r="24" spans="1:9" x14ac:dyDescent="0.25">
      <c r="A24" t="s">
        <v>50</v>
      </c>
      <c r="B24" s="1">
        <v>2.48E-3</v>
      </c>
      <c r="H24" s="1">
        <v>1.6209999999999999E-2</v>
      </c>
    </row>
    <row r="27" spans="1:9" x14ac:dyDescent="0.25">
      <c r="A27" t="s">
        <v>54</v>
      </c>
      <c r="B27">
        <f>40*B16+E16+I16+L16</f>
        <v>4.3012332546287585E-2</v>
      </c>
      <c r="E27">
        <f>Curr^2*E23</f>
        <v>1.5</v>
      </c>
      <c r="H27">
        <f>H23*Curr^2</f>
        <v>1.6069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C471-37A6-4077-9E8D-9C6B2A3166FA}">
  <dimension ref="A1:D4"/>
  <sheetViews>
    <sheetView zoomScaleNormal="100" workbookViewId="0"/>
  </sheetViews>
  <sheetFormatPr defaultRowHeight="15" x14ac:dyDescent="0.25"/>
  <cols>
    <col min="1" max="1" width="22.28515625" bestFit="1" customWidth="1"/>
  </cols>
  <sheetData>
    <row r="1" spans="1:4" x14ac:dyDescent="0.25">
      <c r="A1" s="2" t="s">
        <v>33</v>
      </c>
    </row>
    <row r="2" spans="1:4" x14ac:dyDescent="0.25">
      <c r="A2" s="2" t="s">
        <v>32</v>
      </c>
    </row>
    <row r="4" spans="1:4" ht="15.75" x14ac:dyDescent="0.25">
      <c r="A4" s="4" t="s">
        <v>30</v>
      </c>
      <c r="C4" t="s">
        <v>31</v>
      </c>
      <c r="D4" t="s">
        <v>29</v>
      </c>
    </row>
  </sheetData>
  <hyperlinks>
    <hyperlink ref="A1" r:id="rId1" xr:uid="{EC5B3406-66BC-4347-B2AA-35C512696B38}"/>
    <hyperlink ref="A2" r:id="rId2" xr:uid="{8BB84F57-68F6-4F7A-B265-A27A6880744F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Sheet1</vt:lpstr>
      <vt:lpstr>Capacitor Impedance</vt:lpstr>
      <vt:lpstr>Capacitor Input Current</vt:lpstr>
      <vt:lpstr>Curr</vt:lpstr>
      <vt:lpstr>Freq</vt:lpstr>
      <vt:lpstr>Frequency</vt:lpstr>
      <vt:lpstr>Inductance</vt:lpstr>
      <vt:lpstr>Irms</vt:lpstr>
      <vt:lpstr>V_ripple</vt:lpstr>
      <vt:lpstr>Vin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farrell</dc:creator>
  <cp:lastModifiedBy>Farrell, Conor</cp:lastModifiedBy>
  <dcterms:created xsi:type="dcterms:W3CDTF">2025-12-07T13:11:06Z</dcterms:created>
  <dcterms:modified xsi:type="dcterms:W3CDTF">2026-01-13T23:32:07Z</dcterms:modified>
</cp:coreProperties>
</file>