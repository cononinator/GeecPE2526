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Masters\Project\Investigations\"/>
    </mc:Choice>
  </mc:AlternateContent>
  <xr:revisionPtr revIDLastSave="0" documentId="13_ncr:1_{3BE1BB3A-C387-4C24-BCC8-48BAB8A32797}" xr6:coauthVersionLast="47" xr6:coauthVersionMax="47" xr10:uidLastSave="{00000000-0000-0000-0000-000000000000}"/>
  <bookViews>
    <workbookView xWindow="-120" yWindow="-120" windowWidth="29040" windowHeight="15840" activeTab="1" xr2:uid="{B8B48632-E3A2-4FD9-8FAA-3A582E4F74D4}"/>
  </bookViews>
  <sheets>
    <sheet name="DigiPot" sheetId="1" r:id="rId1"/>
    <sheet name="Sheet2" sheetId="2" r:id="rId2"/>
  </sheets>
  <definedNames>
    <definedName name="BitRes">DigiPot!$B$2</definedName>
    <definedName name="COMP">DigiPot!$B$1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1" i="1" l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6" i="1"/>
  <c r="C6" i="1" s="1"/>
</calcChain>
</file>

<file path=xl/sharedStrings.xml><?xml version="1.0" encoding="utf-8"?>
<sst xmlns="http://schemas.openxmlformats.org/spreadsheetml/2006/main" count="7" uniqueCount="6">
  <si>
    <t>Vcomp</t>
  </si>
  <si>
    <t>DigiPotRes</t>
  </si>
  <si>
    <t>Vsense</t>
  </si>
  <si>
    <t>Voff</t>
  </si>
  <si>
    <t>Pot Value</t>
  </si>
  <si>
    <t>Iequiv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</si>
</sst>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</a:t>
            </a:r>
            <a:r>
              <a:rPr lang="en-US" baseline="0"/>
              <a:t> Limits based on Digital Potentiometer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DigiPot!$C$5</c:f>
              <c:strCache>
                <c:ptCount val="1"/>
                <c:pt idx="0">
                  <c:v>Iequiv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DigiPot!$A$6:$A$220</c:f>
              <c:numCache>
                <c:formatCode>General</c:formatCode>
                <c:ptCount val="2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</c:numCache>
            </c:numRef>
          </c:xVal>
          <c:yVal>
            <c:numRef>
              <c:f>DigiPot!$C$6:$C$220</c:f>
              <c:numCache>
                <c:formatCode>General</c:formatCode>
                <c:ptCount val="215"/>
                <c:pt idx="0">
                  <c:v>5.0538699999999999</c:v>
                </c:pt>
                <c:pt idx="1">
                  <c:v>5.0756498823529403</c:v>
                </c:pt>
                <c:pt idx="2">
                  <c:v>5.09760125984252</c:v>
                </c:pt>
                <c:pt idx="3">
                  <c:v>5.1197261660079043</c:v>
                </c:pt>
                <c:pt idx="4">
                  <c:v>5.1420266666666663</c:v>
                </c:pt>
                <c:pt idx="5">
                  <c:v>5.1645048605577681</c:v>
                </c:pt>
                <c:pt idx="6">
                  <c:v>5.1871628799999998</c:v>
                </c:pt>
                <c:pt idx="7">
                  <c:v>5.2100028915662646</c:v>
                </c:pt>
                <c:pt idx="8">
                  <c:v>5.233027096774193</c:v>
                </c:pt>
                <c:pt idx="9">
                  <c:v>5.2562377327935215</c:v>
                </c:pt>
                <c:pt idx="10">
                  <c:v>5.2796370731707309</c:v>
                </c:pt>
                <c:pt idx="11">
                  <c:v>5.3032274285714287</c:v>
                </c:pt>
                <c:pt idx="12">
                  <c:v>5.3270111475409836</c:v>
                </c:pt>
                <c:pt idx="13">
                  <c:v>5.3509906172839496</c:v>
                </c:pt>
                <c:pt idx="14">
                  <c:v>5.3751682644628094</c:v>
                </c:pt>
                <c:pt idx="15">
                  <c:v>5.3995465560165972</c:v>
                </c:pt>
                <c:pt idx="16">
                  <c:v>5.4241279999999996</c:v>
                </c:pt>
                <c:pt idx="17">
                  <c:v>5.4489151464435137</c:v>
                </c:pt>
                <c:pt idx="18">
                  <c:v>5.4739105882352943</c:v>
                </c:pt>
                <c:pt idx="19">
                  <c:v>5.4991169620253162</c:v>
                </c:pt>
                <c:pt idx="20">
                  <c:v>5.5245369491525418</c:v>
                </c:pt>
                <c:pt idx="21">
                  <c:v>5.5501732765957437</c:v>
                </c:pt>
                <c:pt idx="22">
                  <c:v>5.5760287179487174</c:v>
                </c:pt>
                <c:pt idx="23">
                  <c:v>5.6021060944206003</c:v>
                </c:pt>
                <c:pt idx="24">
                  <c:v>5.6284082758620686</c:v>
                </c:pt>
                <c:pt idx="25">
                  <c:v>5.6549381818181814</c:v>
                </c:pt>
                <c:pt idx="26">
                  <c:v>5.6816987826086951</c:v>
                </c:pt>
                <c:pt idx="27">
                  <c:v>5.7086931004366814</c:v>
                </c:pt>
                <c:pt idx="28">
                  <c:v>5.7359242105263162</c:v>
                </c:pt>
                <c:pt idx="29">
                  <c:v>5.7633952422907484</c:v>
                </c:pt>
                <c:pt idx="30">
                  <c:v>5.7911093805309735</c:v>
                </c:pt>
                <c:pt idx="31">
                  <c:v>5.8190698666666663</c:v>
                </c:pt>
                <c:pt idx="32">
                  <c:v>5.8472799999999996</c:v>
                </c:pt>
                <c:pt idx="33">
                  <c:v>5.8757431390134522</c:v>
                </c:pt>
                <c:pt idx="34">
                  <c:v>5.9044627027027028</c:v>
                </c:pt>
                <c:pt idx="35">
                  <c:v>5.9334421719457007</c:v>
                </c:pt>
                <c:pt idx="36">
                  <c:v>5.9626850909090905</c:v>
                </c:pt>
                <c:pt idx="37">
                  <c:v>5.9921950684931504</c:v>
                </c:pt>
                <c:pt idx="38">
                  <c:v>6.021975779816513</c:v>
                </c:pt>
                <c:pt idx="39">
                  <c:v>6.0520309677419357</c:v>
                </c:pt>
                <c:pt idx="40">
                  <c:v>6.082364444444444</c:v>
                </c:pt>
                <c:pt idx="41">
                  <c:v>6.1129800930232552</c:v>
                </c:pt>
                <c:pt idx="42">
                  <c:v>6.1438818691588777</c:v>
                </c:pt>
                <c:pt idx="43">
                  <c:v>6.1750738028169012</c:v>
                </c:pt>
                <c:pt idx="44">
                  <c:v>6.2065599999999996</c:v>
                </c:pt>
                <c:pt idx="45">
                  <c:v>6.2383446445497626</c:v>
                </c:pt>
                <c:pt idx="46">
                  <c:v>6.2704319999999996</c:v>
                </c:pt>
                <c:pt idx="47">
                  <c:v>6.3028264114832524</c:v>
                </c:pt>
                <c:pt idx="48">
                  <c:v>6.3355323076923069</c:v>
                </c:pt>
                <c:pt idx="49">
                  <c:v>6.36855420289855</c:v>
                </c:pt>
                <c:pt idx="50">
                  <c:v>6.4018966990291259</c:v>
                </c:pt>
                <c:pt idx="51">
                  <c:v>6.4355644878048777</c:v>
                </c:pt>
                <c:pt idx="52">
                  <c:v>6.4695623529411765</c:v>
                </c:pt>
                <c:pt idx="53">
                  <c:v>6.5038951724137926</c:v>
                </c:pt>
                <c:pt idx="54">
                  <c:v>6.5385679207920786</c:v>
                </c:pt>
                <c:pt idx="55">
                  <c:v>6.5735856716417906</c:v>
                </c:pt>
                <c:pt idx="56">
                  <c:v>6.6089535999999995</c:v>
                </c:pt>
                <c:pt idx="57">
                  <c:v>6.6446769849246223</c:v>
                </c:pt>
                <c:pt idx="58">
                  <c:v>6.6807612121212117</c:v>
                </c:pt>
                <c:pt idx="59">
                  <c:v>6.7172117766497452</c:v>
                </c:pt>
                <c:pt idx="60">
                  <c:v>6.754034285714285</c:v>
                </c:pt>
                <c:pt idx="61">
                  <c:v>6.791234461538461</c:v>
                </c:pt>
                <c:pt idx="62">
                  <c:v>6.8288181443298965</c:v>
                </c:pt>
                <c:pt idx="63">
                  <c:v>6.8667912953367871</c:v>
                </c:pt>
                <c:pt idx="64">
                  <c:v>6.9051599999999995</c:v>
                </c:pt>
                <c:pt idx="65">
                  <c:v>6.9439304712041876</c:v>
                </c:pt>
                <c:pt idx="66">
                  <c:v>6.9831090526315789</c:v>
                </c:pt>
                <c:pt idx="67">
                  <c:v>7.0227022222222217</c:v>
                </c:pt>
                <c:pt idx="68">
                  <c:v>7.0627165957446802</c:v>
                </c:pt>
                <c:pt idx="69">
                  <c:v>7.1031589304812828</c:v>
                </c:pt>
                <c:pt idx="70">
                  <c:v>7.1440361290322576</c:v>
                </c:pt>
                <c:pt idx="71">
                  <c:v>7.1853552432432428</c:v>
                </c:pt>
                <c:pt idx="72">
                  <c:v>7.2271234782608689</c:v>
                </c:pt>
                <c:pt idx="73">
                  <c:v>7.2693481967213103</c:v>
                </c:pt>
                <c:pt idx="74">
                  <c:v>7.3120369230769224</c:v>
                </c:pt>
                <c:pt idx="75">
                  <c:v>7.355197348066298</c:v>
                </c:pt>
                <c:pt idx="76">
                  <c:v>7.3988373333333328</c:v>
                </c:pt>
                <c:pt idx="77">
                  <c:v>7.4429649162011158</c:v>
                </c:pt>
                <c:pt idx="78">
                  <c:v>7.4875883146067403</c:v>
                </c:pt>
                <c:pt idx="79">
                  <c:v>7.5327159322033896</c:v>
                </c:pt>
                <c:pt idx="80">
                  <c:v>7.5783563636363631</c:v>
                </c:pt>
                <c:pt idx="81">
                  <c:v>7.6245183999999995</c:v>
                </c:pt>
                <c:pt idx="82">
                  <c:v>7.6712110344827593</c:v>
                </c:pt>
                <c:pt idx="83">
                  <c:v>7.7184434682080916</c:v>
                </c:pt>
                <c:pt idx="84">
                  <c:v>7.7662251162790703</c:v>
                </c:pt>
                <c:pt idx="85">
                  <c:v>7.8145656140350859</c:v>
                </c:pt>
                <c:pt idx="86">
                  <c:v>7.8634748235294101</c:v>
                </c:pt>
                <c:pt idx="87">
                  <c:v>7.9129628402366858</c:v>
                </c:pt>
                <c:pt idx="88">
                  <c:v>7.9630399999999995</c:v>
                </c:pt>
                <c:pt idx="89">
                  <c:v>8.0137168862275434</c:v>
                </c:pt>
                <c:pt idx="90">
                  <c:v>8.0650043373493983</c:v>
                </c:pt>
                <c:pt idx="91">
                  <c:v>8.116913454545454</c:v>
                </c:pt>
                <c:pt idx="92">
                  <c:v>8.1694556097560955</c:v>
                </c:pt>
                <c:pt idx="93">
                  <c:v>8.2226424539877296</c:v>
                </c:pt>
                <c:pt idx="94">
                  <c:v>8.2764859259259254</c:v>
                </c:pt>
                <c:pt idx="95">
                  <c:v>8.3309982608695652</c:v>
                </c:pt>
                <c:pt idx="96">
                  <c:v>8.3861919999999994</c:v>
                </c:pt>
                <c:pt idx="97">
                  <c:v>8.4420799999999989</c:v>
                </c:pt>
                <c:pt idx="98">
                  <c:v>8.498675443037973</c:v>
                </c:pt>
                <c:pt idx="99">
                  <c:v>8.5559918471337575</c:v>
                </c:pt>
                <c:pt idx="100">
                  <c:v>8.6140430769230765</c:v>
                </c:pt>
                <c:pt idx="101">
                  <c:v>8.6728433548387081</c:v>
                </c:pt>
                <c:pt idx="102">
                  <c:v>8.7324072727272721</c:v>
                </c:pt>
                <c:pt idx="103">
                  <c:v>8.7927498039215664</c:v>
                </c:pt>
                <c:pt idx="104">
                  <c:v>8.8538863157894721</c:v>
                </c:pt>
                <c:pt idx="105">
                  <c:v>8.9158325827814568</c:v>
                </c:pt>
                <c:pt idx="106">
                  <c:v>8.9786047999999994</c:v>
                </c:pt>
                <c:pt idx="107">
                  <c:v>9.0422195973154356</c:v>
                </c:pt>
                <c:pt idx="108">
                  <c:v>9.1066940540540529</c:v>
                </c:pt>
                <c:pt idx="109">
                  <c:v>9.1720457142857139</c:v>
                </c:pt>
                <c:pt idx="110">
                  <c:v>9.2382926027397243</c:v>
                </c:pt>
                <c:pt idx="111">
                  <c:v>9.3054532413793094</c:v>
                </c:pt>
                <c:pt idx="112">
                  <c:v>9.373546666666666</c:v>
                </c:pt>
                <c:pt idx="113">
                  <c:v>9.4425924475524461</c:v>
                </c:pt>
                <c:pt idx="114">
                  <c:v>9.5126107042253505</c:v>
                </c:pt>
                <c:pt idx="115">
                  <c:v>9.5836221276595737</c:v>
                </c:pt>
                <c:pt idx="116">
                  <c:v>9.6556479999999993</c:v>
                </c:pt>
                <c:pt idx="117">
                  <c:v>9.7287102158273377</c:v>
                </c:pt>
                <c:pt idx="118">
                  <c:v>9.8028313043478246</c:v>
                </c:pt>
                <c:pt idx="119">
                  <c:v>9.8780344525547452</c:v>
                </c:pt>
                <c:pt idx="120">
                  <c:v>9.9543435294117639</c:v>
                </c:pt>
                <c:pt idx="121">
                  <c:v>10.03178311111111</c:v>
                </c:pt>
                <c:pt idx="122">
                  <c:v>10.110378507462684</c:v>
                </c:pt>
                <c:pt idx="123">
                  <c:v>10.190155789473684</c:v>
                </c:pt>
                <c:pt idx="124">
                  <c:v>10.271141818181817</c:v>
                </c:pt>
                <c:pt idx="125">
                  <c:v>10.353364274809159</c:v>
                </c:pt>
                <c:pt idx="126">
                  <c:v>10.436851692307691</c:v>
                </c:pt>
                <c:pt idx="127">
                  <c:v>10.521633488372093</c:v>
                </c:pt>
                <c:pt idx="128">
                  <c:v>10.60774</c:v>
                </c:pt>
                <c:pt idx="129">
                  <c:v>10.69520251968504</c:v>
                </c:pt>
                <c:pt idx="130">
                  <c:v>10.784053333333333</c:v>
                </c:pt>
                <c:pt idx="131">
                  <c:v>10.87432576</c:v>
                </c:pt>
                <c:pt idx="132">
                  <c:v>10.966054193548386</c:v>
                </c:pt>
                <c:pt idx="133">
                  <c:v>11.059274146341462</c:v>
                </c:pt>
                <c:pt idx="134">
                  <c:v>11.154022295081967</c:v>
                </c:pt>
                <c:pt idx="135">
                  <c:v>11.250336528925619</c:v>
                </c:pt>
                <c:pt idx="136">
                  <c:v>11.348255999999999</c:v>
                </c:pt>
                <c:pt idx="137">
                  <c:v>11.447821176470589</c:v>
                </c:pt>
                <c:pt idx="138">
                  <c:v>11.549073898305084</c:v>
                </c:pt>
                <c:pt idx="139">
                  <c:v>11.652057435897435</c:v>
                </c:pt>
                <c:pt idx="140">
                  <c:v>11.756816551724137</c:v>
                </c:pt>
                <c:pt idx="141">
                  <c:v>11.86339756521739</c:v>
                </c:pt>
                <c:pt idx="142">
                  <c:v>11.971848421052632</c:v>
                </c:pt>
                <c:pt idx="143">
                  <c:v>12.082218761061947</c:v>
                </c:pt>
                <c:pt idx="144">
                  <c:v>12.194559999999999</c:v>
                </c:pt>
                <c:pt idx="145">
                  <c:v>12.308925405405406</c:v>
                </c:pt>
                <c:pt idx="146">
                  <c:v>12.425370181818181</c:v>
                </c:pt>
                <c:pt idx="147">
                  <c:v>12.543951559633026</c:v>
                </c:pt>
                <c:pt idx="148">
                  <c:v>12.664728888888888</c:v>
                </c:pt>
                <c:pt idx="149">
                  <c:v>12.787763738317755</c:v>
                </c:pt>
                <c:pt idx="150">
                  <c:v>12.913119999999999</c:v>
                </c:pt>
                <c:pt idx="151">
                  <c:v>13.040863999999999</c:v>
                </c:pt>
                <c:pt idx="152">
                  <c:v>13.171064615384614</c:v>
                </c:pt>
                <c:pt idx="153">
                  <c:v>13.303793398058252</c:v>
                </c:pt>
                <c:pt idx="154">
                  <c:v>13.439124705882353</c:v>
                </c:pt>
                <c:pt idx="155">
                  <c:v>13.577135841584157</c:v>
                </c:pt>
                <c:pt idx="156">
                  <c:v>13.717907199999999</c:v>
                </c:pt>
                <c:pt idx="157">
                  <c:v>13.861522424242423</c:v>
                </c:pt>
                <c:pt idx="158">
                  <c:v>14.00806857142857</c:v>
                </c:pt>
                <c:pt idx="159">
                  <c:v>14.157636288659793</c:v>
                </c:pt>
                <c:pt idx="160">
                  <c:v>14.310319999999999</c:v>
                </c:pt>
                <c:pt idx="161">
                  <c:v>14.466218105263158</c:v>
                </c:pt>
                <c:pt idx="162">
                  <c:v>14.62543319148936</c:v>
                </c:pt>
                <c:pt idx="163">
                  <c:v>14.788072258064515</c:v>
                </c:pt>
                <c:pt idx="164">
                  <c:v>14.954246956521738</c:v>
                </c:pt>
                <c:pt idx="165">
                  <c:v>15.124073846153845</c:v>
                </c:pt>
                <c:pt idx="166">
                  <c:v>15.297674666666666</c:v>
                </c:pt>
                <c:pt idx="167">
                  <c:v>15.475176629213481</c:v>
                </c:pt>
                <c:pt idx="168">
                  <c:v>15.656712727272726</c:v>
                </c:pt>
                <c:pt idx="169">
                  <c:v>15.842422068965519</c:v>
                </c:pt>
                <c:pt idx="170">
                  <c:v>16.032450232558141</c:v>
                </c:pt>
                <c:pt idx="171">
                  <c:v>16.22694964705882</c:v>
                </c:pt>
                <c:pt idx="172">
                  <c:v>16.426079999999999</c:v>
                </c:pt>
                <c:pt idx="173">
                  <c:v>16.630008674698797</c:v>
                </c:pt>
                <c:pt idx="174">
                  <c:v>16.838911219512191</c:v>
                </c:pt>
                <c:pt idx="175">
                  <c:v>17.052971851851851</c:v>
                </c:pt>
                <c:pt idx="176">
                  <c:v>17.272383999999999</c:v>
                </c:pt>
                <c:pt idx="177">
                  <c:v>17.497350886075946</c:v>
                </c:pt>
                <c:pt idx="178">
                  <c:v>17.728086153846153</c:v>
                </c:pt>
                <c:pt idx="179">
                  <c:v>17.964814545454544</c:v>
                </c:pt>
                <c:pt idx="180">
                  <c:v>18.207772631578944</c:v>
                </c:pt>
                <c:pt idx="181">
                  <c:v>18.457209599999999</c:v>
                </c:pt>
                <c:pt idx="182">
                  <c:v>18.713388108108106</c:v>
                </c:pt>
                <c:pt idx="183">
                  <c:v>18.976585205479449</c:v>
                </c:pt>
                <c:pt idx="184">
                  <c:v>19.247093333333332</c:v>
                </c:pt>
                <c:pt idx="185">
                  <c:v>19.525221408450701</c:v>
                </c:pt>
                <c:pt idx="186">
                  <c:v>19.811295999999999</c:v>
                </c:pt>
                <c:pt idx="187">
                  <c:v>20.105662608695649</c:v>
                </c:pt>
                <c:pt idx="188">
                  <c:v>20.408687058823528</c:v>
                </c:pt>
                <c:pt idx="189">
                  <c:v>20.720757014925368</c:v>
                </c:pt>
                <c:pt idx="190">
                  <c:v>21.042283636363635</c:v>
                </c:pt>
                <c:pt idx="191">
                  <c:v>21.373703384615382</c:v>
                </c:pt>
                <c:pt idx="192">
                  <c:v>21.715479999999999</c:v>
                </c:pt>
                <c:pt idx="193">
                  <c:v>22.068106666666665</c:v>
                </c:pt>
                <c:pt idx="194">
                  <c:v>22.432108387096772</c:v>
                </c:pt>
                <c:pt idx="195">
                  <c:v>22.808044590163934</c:v>
                </c:pt>
                <c:pt idx="196">
                  <c:v>23.196511999999998</c:v>
                </c:pt>
                <c:pt idx="197">
                  <c:v>23.598147796610167</c:v>
                </c:pt>
                <c:pt idx="198">
                  <c:v>24.013633103448274</c:v>
                </c:pt>
                <c:pt idx="199">
                  <c:v>24.443696842105265</c:v>
                </c:pt>
                <c:pt idx="200">
                  <c:v>24.889119999999998</c:v>
                </c:pt>
                <c:pt idx="201">
                  <c:v>25.350740363636362</c:v>
                </c:pt>
                <c:pt idx="202">
                  <c:v>25.829457777777776</c:v>
                </c:pt>
                <c:pt idx="203">
                  <c:v>26.326239999999999</c:v>
                </c:pt>
                <c:pt idx="204">
                  <c:v>26.842129230769228</c:v>
                </c:pt>
                <c:pt idx="205">
                  <c:v>27.378249411764706</c:v>
                </c:pt>
                <c:pt idx="206">
                  <c:v>27.935814399999998</c:v>
                </c:pt>
                <c:pt idx="207">
                  <c:v>28.51613714285714</c:v>
                </c:pt>
                <c:pt idx="208">
                  <c:v>29.120639999999998</c:v>
                </c:pt>
                <c:pt idx="209">
                  <c:v>29.750866382978721</c:v>
                </c:pt>
                <c:pt idx="210">
                  <c:v>30.408493913043475</c:v>
                </c:pt>
                <c:pt idx="211">
                  <c:v>31.095349333333331</c:v>
                </c:pt>
                <c:pt idx="212">
                  <c:v>31.813425454545452</c:v>
                </c:pt>
                <c:pt idx="213">
                  <c:v>32.564900465116281</c:v>
                </c:pt>
                <c:pt idx="214">
                  <c:v>33.352159999999998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9D-42AE-AD59-195471A10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1975407"/>
        <c:axId val="831972527"/>
      </c:scatterChart>
      <c:valAx>
        <c:axId val="83197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Digital</a:t>
                </a:r>
                <a:r>
                  <a:rPr lang="en-US" baseline="0"/>
                  <a:t> Potentiometer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972527"/>
        <c:crosses val="autoZero"/>
        <c:crossBetween val="midCat"/>
      </c:valAx>
      <c:valAx>
        <c:axId val="83197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Motor</a:t>
                </a:r>
                <a:r>
                  <a:rPr lang="en-IE" baseline="0"/>
                  <a:t> Current (A)</a:t>
                </a:r>
                <a:endParaRPr lang="en-I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975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6</xdr:row>
      <xdr:rowOff>4761</xdr:rowOff>
    </xdr:from>
    <xdr:to>
      <xdr:col>21</xdr:col>
      <xdr:colOff>371475</xdr:colOff>
      <xdr:row>28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4BE33F-96F3-B2FB-4CE0-F1332DA14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BB10-E493-4F3F-8EED-79CBD0D058A9}">
  <dimension ref="A1:C220"/>
  <sheetViews>
    <sheetView workbookViewId="0">
      <selection activeCell="B1" sqref="B1"/>
    </sheetView>
  </sheetViews>
  <sheetFormatPr defaultRowHeight="15" x14ac:dyDescent="0.25"/>
  <sheetData>
    <row r="1" spans="1:3" x14ac:dyDescent="0.25">
      <c r="A1" t="s">
        <v>0</v>
      </c>
      <c r="B1">
        <v>0.7</v>
      </c>
    </row>
    <row r="2" spans="1:3" x14ac:dyDescent="0.25">
      <c r="A2" t="s">
        <v>1</v>
      </c>
      <c r="B2">
        <v>256</v>
      </c>
    </row>
    <row r="3" spans="1:3" x14ac:dyDescent="0.25">
      <c r="A3" t="s">
        <v>2</v>
      </c>
      <c r="B3">
        <v>7.9340999999999999</v>
      </c>
    </row>
    <row r="4" spans="1:3" x14ac:dyDescent="0.25">
      <c r="A4" t="s">
        <v>3</v>
      </c>
      <c r="B4">
        <v>-0.5</v>
      </c>
    </row>
    <row r="5" spans="1:3" x14ac:dyDescent="0.25">
      <c r="A5" t="s">
        <v>4</v>
      </c>
      <c r="B5" t="s">
        <v>2</v>
      </c>
      <c r="C5" t="s">
        <v>5</v>
      </c>
    </row>
    <row r="6" spans="1:3" x14ac:dyDescent="0.25">
      <c r="A6">
        <v>0</v>
      </c>
      <c r="B6">
        <f>COMP*BitRes/(BitRes-A6)</f>
        <v>0.7</v>
      </c>
      <c r="C6">
        <f>B6*$B$3+$B$4</f>
        <v>5.0538699999999999</v>
      </c>
    </row>
    <row r="7" spans="1:3" x14ac:dyDescent="0.25">
      <c r="A7">
        <v>1</v>
      </c>
      <c r="B7">
        <f>COMP*BitRes/(BitRes-A7)</f>
        <v>0.70274509803921559</v>
      </c>
      <c r="C7">
        <f t="shared" ref="C7:C70" si="0">B7*$B$3+$B$4</f>
        <v>5.0756498823529403</v>
      </c>
    </row>
    <row r="8" spans="1:3" x14ac:dyDescent="0.25">
      <c r="A8">
        <v>2</v>
      </c>
      <c r="B8">
        <f>COMP*BitRes/(BitRes-A8)</f>
        <v>0.70551181102362204</v>
      </c>
      <c r="C8">
        <f t="shared" si="0"/>
        <v>5.09760125984252</v>
      </c>
    </row>
    <row r="9" spans="1:3" x14ac:dyDescent="0.25">
      <c r="A9">
        <v>3</v>
      </c>
      <c r="B9">
        <f>COMP*BitRes/(BitRes-A9)</f>
        <v>0.7083003952569169</v>
      </c>
      <c r="C9">
        <f t="shared" si="0"/>
        <v>5.1197261660079043</v>
      </c>
    </row>
    <row r="10" spans="1:3" x14ac:dyDescent="0.25">
      <c r="A10">
        <v>4</v>
      </c>
      <c r="B10">
        <f>COMP*BitRes/(BitRes-A10)</f>
        <v>0.71111111111111103</v>
      </c>
      <c r="C10">
        <f t="shared" si="0"/>
        <v>5.1420266666666663</v>
      </c>
    </row>
    <row r="11" spans="1:3" x14ac:dyDescent="0.25">
      <c r="A11">
        <v>5</v>
      </c>
      <c r="B11">
        <f>COMP*BitRes/(BitRes-A11)</f>
        <v>0.71394422310756966</v>
      </c>
      <c r="C11">
        <f t="shared" si="0"/>
        <v>5.1645048605577681</v>
      </c>
    </row>
    <row r="12" spans="1:3" x14ac:dyDescent="0.25">
      <c r="A12">
        <v>6</v>
      </c>
      <c r="B12">
        <f>COMP*BitRes/(BitRes-A12)</f>
        <v>0.71679999999999999</v>
      </c>
      <c r="C12">
        <f t="shared" si="0"/>
        <v>5.1871628799999998</v>
      </c>
    </row>
    <row r="13" spans="1:3" x14ac:dyDescent="0.25">
      <c r="A13">
        <v>7</v>
      </c>
      <c r="B13">
        <f>COMP*BitRes/(BitRes-A13)</f>
        <v>0.71967871485943768</v>
      </c>
      <c r="C13">
        <f t="shared" si="0"/>
        <v>5.2100028915662646</v>
      </c>
    </row>
    <row r="14" spans="1:3" x14ac:dyDescent="0.25">
      <c r="A14">
        <v>8</v>
      </c>
      <c r="B14">
        <f>COMP*BitRes/(BitRes-A14)</f>
        <v>0.72258064516129028</v>
      </c>
      <c r="C14">
        <f t="shared" si="0"/>
        <v>5.233027096774193</v>
      </c>
    </row>
    <row r="15" spans="1:3" x14ac:dyDescent="0.25">
      <c r="A15">
        <v>9</v>
      </c>
      <c r="B15">
        <f>COMP*BitRes/(BitRes-A15)</f>
        <v>0.72550607287449387</v>
      </c>
      <c r="C15">
        <f t="shared" si="0"/>
        <v>5.2562377327935215</v>
      </c>
    </row>
    <row r="16" spans="1:3" x14ac:dyDescent="0.25">
      <c r="A16">
        <v>10</v>
      </c>
      <c r="B16">
        <f>COMP*BitRes/(BitRes-A16)</f>
        <v>0.72845528455284547</v>
      </c>
      <c r="C16">
        <f t="shared" si="0"/>
        <v>5.2796370731707309</v>
      </c>
    </row>
    <row r="17" spans="1:3" x14ac:dyDescent="0.25">
      <c r="A17">
        <v>11</v>
      </c>
      <c r="B17">
        <f>COMP*BitRes/(BitRes-A17)</f>
        <v>0.73142857142857143</v>
      </c>
      <c r="C17">
        <f t="shared" si="0"/>
        <v>5.3032274285714287</v>
      </c>
    </row>
    <row r="18" spans="1:3" x14ac:dyDescent="0.25">
      <c r="A18">
        <v>12</v>
      </c>
      <c r="B18">
        <f>COMP*BitRes/(BitRes-A18)</f>
        <v>0.73442622950819669</v>
      </c>
      <c r="C18">
        <f t="shared" si="0"/>
        <v>5.3270111475409836</v>
      </c>
    </row>
    <row r="19" spans="1:3" x14ac:dyDescent="0.25">
      <c r="A19">
        <v>13</v>
      </c>
      <c r="B19">
        <f>COMP*BitRes/(BitRes-A19)</f>
        <v>0.73744855967078182</v>
      </c>
      <c r="C19">
        <f t="shared" si="0"/>
        <v>5.3509906172839496</v>
      </c>
    </row>
    <row r="20" spans="1:3" x14ac:dyDescent="0.25">
      <c r="A20">
        <v>14</v>
      </c>
      <c r="B20">
        <f>COMP*BitRes/(BitRes-A20)</f>
        <v>0.740495867768595</v>
      </c>
      <c r="C20">
        <f t="shared" si="0"/>
        <v>5.3751682644628094</v>
      </c>
    </row>
    <row r="21" spans="1:3" x14ac:dyDescent="0.25">
      <c r="A21">
        <v>15</v>
      </c>
      <c r="B21">
        <f>COMP*BitRes/(BitRes-A21)</f>
        <v>0.74356846473029037</v>
      </c>
      <c r="C21">
        <f t="shared" si="0"/>
        <v>5.3995465560165972</v>
      </c>
    </row>
    <row r="22" spans="1:3" x14ac:dyDescent="0.25">
      <c r="A22">
        <v>16</v>
      </c>
      <c r="B22">
        <f>COMP*BitRes/(BitRes-A22)</f>
        <v>0.74666666666666659</v>
      </c>
      <c r="C22">
        <f t="shared" si="0"/>
        <v>5.4241279999999996</v>
      </c>
    </row>
    <row r="23" spans="1:3" x14ac:dyDescent="0.25">
      <c r="A23">
        <v>17</v>
      </c>
      <c r="B23">
        <f>COMP*BitRes/(BitRes-A23)</f>
        <v>0.74979079497907941</v>
      </c>
      <c r="C23">
        <f t="shared" si="0"/>
        <v>5.4489151464435137</v>
      </c>
    </row>
    <row r="24" spans="1:3" x14ac:dyDescent="0.25">
      <c r="A24">
        <v>18</v>
      </c>
      <c r="B24">
        <f>COMP*BitRes/(BitRes-A24)</f>
        <v>0.75294117647058822</v>
      </c>
      <c r="C24">
        <f t="shared" si="0"/>
        <v>5.4739105882352943</v>
      </c>
    </row>
    <row r="25" spans="1:3" x14ac:dyDescent="0.25">
      <c r="A25">
        <v>19</v>
      </c>
      <c r="B25">
        <f>COMP*BitRes/(BitRes-A25)</f>
        <v>0.75611814345991557</v>
      </c>
      <c r="C25">
        <f t="shared" si="0"/>
        <v>5.4991169620253162</v>
      </c>
    </row>
    <row r="26" spans="1:3" x14ac:dyDescent="0.25">
      <c r="A26">
        <v>20</v>
      </c>
      <c r="B26">
        <f>COMP*BitRes/(BitRes-A26)</f>
        <v>0.75932203389830499</v>
      </c>
      <c r="C26">
        <f t="shared" si="0"/>
        <v>5.5245369491525418</v>
      </c>
    </row>
    <row r="27" spans="1:3" x14ac:dyDescent="0.25">
      <c r="A27">
        <v>21</v>
      </c>
      <c r="B27">
        <f>COMP*BitRes/(BitRes-A27)</f>
        <v>0.76255319148936163</v>
      </c>
      <c r="C27">
        <f t="shared" si="0"/>
        <v>5.5501732765957437</v>
      </c>
    </row>
    <row r="28" spans="1:3" x14ac:dyDescent="0.25">
      <c r="A28">
        <v>22</v>
      </c>
      <c r="B28">
        <f>COMP*BitRes/(BitRes-A28)</f>
        <v>0.76581196581196576</v>
      </c>
      <c r="C28">
        <f t="shared" si="0"/>
        <v>5.5760287179487174</v>
      </c>
    </row>
    <row r="29" spans="1:3" x14ac:dyDescent="0.25">
      <c r="A29">
        <v>23</v>
      </c>
      <c r="B29">
        <f>COMP*BitRes/(BitRes-A29)</f>
        <v>0.76909871244635186</v>
      </c>
      <c r="C29">
        <f t="shared" si="0"/>
        <v>5.6021060944206003</v>
      </c>
    </row>
    <row r="30" spans="1:3" x14ac:dyDescent="0.25">
      <c r="A30">
        <v>24</v>
      </c>
      <c r="B30">
        <f>COMP*BitRes/(BitRes-A30)</f>
        <v>0.77241379310344827</v>
      </c>
      <c r="C30">
        <f t="shared" si="0"/>
        <v>5.6284082758620686</v>
      </c>
    </row>
    <row r="31" spans="1:3" x14ac:dyDescent="0.25">
      <c r="A31">
        <v>25</v>
      </c>
      <c r="B31">
        <f>COMP*BitRes/(BitRes-A31)</f>
        <v>0.77575757575757576</v>
      </c>
      <c r="C31">
        <f t="shared" si="0"/>
        <v>5.6549381818181814</v>
      </c>
    </row>
    <row r="32" spans="1:3" x14ac:dyDescent="0.25">
      <c r="A32">
        <v>26</v>
      </c>
      <c r="B32">
        <f>COMP*BitRes/(BitRes-A32)</f>
        <v>0.77913043478260868</v>
      </c>
      <c r="C32">
        <f t="shared" si="0"/>
        <v>5.6816987826086951</v>
      </c>
    </row>
    <row r="33" spans="1:3" x14ac:dyDescent="0.25">
      <c r="A33">
        <v>27</v>
      </c>
      <c r="B33">
        <f>COMP*BitRes/(BitRes-A33)</f>
        <v>0.78253275109170306</v>
      </c>
      <c r="C33">
        <f t="shared" si="0"/>
        <v>5.7086931004366814</v>
      </c>
    </row>
    <row r="34" spans="1:3" x14ac:dyDescent="0.25">
      <c r="A34">
        <v>28</v>
      </c>
      <c r="B34">
        <f>COMP*BitRes/(BitRes-A34)</f>
        <v>0.78596491228070176</v>
      </c>
      <c r="C34">
        <f t="shared" si="0"/>
        <v>5.7359242105263162</v>
      </c>
    </row>
    <row r="35" spans="1:3" x14ac:dyDescent="0.25">
      <c r="A35">
        <v>29</v>
      </c>
      <c r="B35">
        <f>COMP*BitRes/(BitRes-A35)</f>
        <v>0.78942731277533029</v>
      </c>
      <c r="C35">
        <f t="shared" si="0"/>
        <v>5.7633952422907484</v>
      </c>
    </row>
    <row r="36" spans="1:3" x14ac:dyDescent="0.25">
      <c r="A36">
        <v>30</v>
      </c>
      <c r="B36">
        <f>COMP*BitRes/(BitRes-A36)</f>
        <v>0.79292035398230087</v>
      </c>
      <c r="C36">
        <f t="shared" si="0"/>
        <v>5.7911093805309735</v>
      </c>
    </row>
    <row r="37" spans="1:3" x14ac:dyDescent="0.25">
      <c r="A37">
        <v>31</v>
      </c>
      <c r="B37">
        <f>COMP*BitRes/(BitRes-A37)</f>
        <v>0.7964444444444444</v>
      </c>
      <c r="C37">
        <f t="shared" si="0"/>
        <v>5.8190698666666663</v>
      </c>
    </row>
    <row r="38" spans="1:3" x14ac:dyDescent="0.25">
      <c r="A38">
        <v>32</v>
      </c>
      <c r="B38">
        <f>COMP*BitRes/(BitRes-A38)</f>
        <v>0.79999999999999993</v>
      </c>
      <c r="C38">
        <f t="shared" si="0"/>
        <v>5.8472799999999996</v>
      </c>
    </row>
    <row r="39" spans="1:3" x14ac:dyDescent="0.25">
      <c r="A39">
        <v>33</v>
      </c>
      <c r="B39">
        <f>COMP*BitRes/(BitRes-A39)</f>
        <v>0.80358744394618831</v>
      </c>
      <c r="C39">
        <f t="shared" si="0"/>
        <v>5.8757431390134522</v>
      </c>
    </row>
    <row r="40" spans="1:3" x14ac:dyDescent="0.25">
      <c r="A40">
        <v>34</v>
      </c>
      <c r="B40">
        <f>COMP*BitRes/(BitRes-A40)</f>
        <v>0.80720720720720718</v>
      </c>
      <c r="C40">
        <f t="shared" si="0"/>
        <v>5.9044627027027028</v>
      </c>
    </row>
    <row r="41" spans="1:3" x14ac:dyDescent="0.25">
      <c r="A41">
        <v>35</v>
      </c>
      <c r="B41">
        <f>COMP*BitRes/(BitRes-A41)</f>
        <v>0.81085972850678723</v>
      </c>
      <c r="C41">
        <f t="shared" si="0"/>
        <v>5.9334421719457007</v>
      </c>
    </row>
    <row r="42" spans="1:3" x14ac:dyDescent="0.25">
      <c r="A42">
        <v>36</v>
      </c>
      <c r="B42">
        <f>COMP*BitRes/(BitRes-A42)</f>
        <v>0.81454545454545446</v>
      </c>
      <c r="C42">
        <f t="shared" si="0"/>
        <v>5.9626850909090905</v>
      </c>
    </row>
    <row r="43" spans="1:3" x14ac:dyDescent="0.25">
      <c r="A43">
        <v>37</v>
      </c>
      <c r="B43">
        <f>COMP*BitRes/(BitRes-A43)</f>
        <v>0.81826484018264833</v>
      </c>
      <c r="C43">
        <f t="shared" si="0"/>
        <v>5.9921950684931504</v>
      </c>
    </row>
    <row r="44" spans="1:3" x14ac:dyDescent="0.25">
      <c r="A44">
        <v>38</v>
      </c>
      <c r="B44">
        <f>COMP*BitRes/(BitRes-A44)</f>
        <v>0.82201834862385315</v>
      </c>
      <c r="C44">
        <f t="shared" si="0"/>
        <v>6.021975779816513</v>
      </c>
    </row>
    <row r="45" spans="1:3" x14ac:dyDescent="0.25">
      <c r="A45">
        <v>39</v>
      </c>
      <c r="B45">
        <f>COMP*BitRes/(BitRes-A45)</f>
        <v>0.82580645161290323</v>
      </c>
      <c r="C45">
        <f t="shared" si="0"/>
        <v>6.0520309677419357</v>
      </c>
    </row>
    <row r="46" spans="1:3" x14ac:dyDescent="0.25">
      <c r="A46">
        <v>40</v>
      </c>
      <c r="B46">
        <f>COMP*BitRes/(BitRes-A46)</f>
        <v>0.82962962962962961</v>
      </c>
      <c r="C46">
        <f t="shared" si="0"/>
        <v>6.082364444444444</v>
      </c>
    </row>
    <row r="47" spans="1:3" x14ac:dyDescent="0.25">
      <c r="A47">
        <v>41</v>
      </c>
      <c r="B47">
        <f>COMP*BitRes/(BitRes-A47)</f>
        <v>0.83348837209302318</v>
      </c>
      <c r="C47">
        <f t="shared" si="0"/>
        <v>6.1129800930232552</v>
      </c>
    </row>
    <row r="48" spans="1:3" x14ac:dyDescent="0.25">
      <c r="A48">
        <v>42</v>
      </c>
      <c r="B48">
        <f>COMP*BitRes/(BitRes-A48)</f>
        <v>0.8373831775700934</v>
      </c>
      <c r="C48">
        <f t="shared" si="0"/>
        <v>6.1438818691588777</v>
      </c>
    </row>
    <row r="49" spans="1:3" x14ac:dyDescent="0.25">
      <c r="A49">
        <v>43</v>
      </c>
      <c r="B49">
        <f>COMP*BitRes/(BitRes-A49)</f>
        <v>0.84131455399061028</v>
      </c>
      <c r="C49">
        <f t="shared" si="0"/>
        <v>6.1750738028169012</v>
      </c>
    </row>
    <row r="50" spans="1:3" x14ac:dyDescent="0.25">
      <c r="A50">
        <v>44</v>
      </c>
      <c r="B50">
        <f>COMP*BitRes/(BitRes-A50)</f>
        <v>0.84528301886792445</v>
      </c>
      <c r="C50">
        <f t="shared" si="0"/>
        <v>6.2065599999999996</v>
      </c>
    </row>
    <row r="51" spans="1:3" x14ac:dyDescent="0.25">
      <c r="A51">
        <v>45</v>
      </c>
      <c r="B51">
        <f>COMP*BitRes/(BitRes-A51)</f>
        <v>0.84928909952606635</v>
      </c>
      <c r="C51">
        <f t="shared" si="0"/>
        <v>6.2383446445497626</v>
      </c>
    </row>
    <row r="52" spans="1:3" x14ac:dyDescent="0.25">
      <c r="A52">
        <v>46</v>
      </c>
      <c r="B52">
        <f>COMP*BitRes/(BitRes-A52)</f>
        <v>0.85333333333333328</v>
      </c>
      <c r="C52">
        <f t="shared" si="0"/>
        <v>6.2704319999999996</v>
      </c>
    </row>
    <row r="53" spans="1:3" x14ac:dyDescent="0.25">
      <c r="A53">
        <v>47</v>
      </c>
      <c r="B53">
        <f>COMP*BitRes/(BitRes-A53)</f>
        <v>0.85741626794258363</v>
      </c>
      <c r="C53">
        <f t="shared" si="0"/>
        <v>6.3028264114832524</v>
      </c>
    </row>
    <row r="54" spans="1:3" x14ac:dyDescent="0.25">
      <c r="A54">
        <v>48</v>
      </c>
      <c r="B54">
        <f>COMP*BitRes/(BitRes-A54)</f>
        <v>0.86153846153846148</v>
      </c>
      <c r="C54">
        <f t="shared" si="0"/>
        <v>6.3355323076923069</v>
      </c>
    </row>
    <row r="55" spans="1:3" x14ac:dyDescent="0.25">
      <c r="A55">
        <v>49</v>
      </c>
      <c r="B55">
        <f>COMP*BitRes/(BitRes-A55)</f>
        <v>0.86570048309178738</v>
      </c>
      <c r="C55">
        <f t="shared" si="0"/>
        <v>6.36855420289855</v>
      </c>
    </row>
    <row r="56" spans="1:3" x14ac:dyDescent="0.25">
      <c r="A56">
        <v>50</v>
      </c>
      <c r="B56">
        <f>COMP*BitRes/(BitRes-A56)</f>
        <v>0.86990291262135921</v>
      </c>
      <c r="C56">
        <f t="shared" si="0"/>
        <v>6.4018966990291259</v>
      </c>
    </row>
    <row r="57" spans="1:3" x14ac:dyDescent="0.25">
      <c r="A57">
        <v>51</v>
      </c>
      <c r="B57">
        <f>COMP*BitRes/(BitRes-A57)</f>
        <v>0.87414634146341463</v>
      </c>
      <c r="C57">
        <f t="shared" si="0"/>
        <v>6.4355644878048777</v>
      </c>
    </row>
    <row r="58" spans="1:3" x14ac:dyDescent="0.25">
      <c r="A58">
        <v>52</v>
      </c>
      <c r="B58">
        <f>COMP*BitRes/(BitRes-A58)</f>
        <v>0.8784313725490196</v>
      </c>
      <c r="C58">
        <f t="shared" si="0"/>
        <v>6.4695623529411765</v>
      </c>
    </row>
    <row r="59" spans="1:3" x14ac:dyDescent="0.25">
      <c r="A59">
        <v>53</v>
      </c>
      <c r="B59">
        <f>COMP*BitRes/(BitRes-A59)</f>
        <v>0.88275862068965516</v>
      </c>
      <c r="C59">
        <f t="shared" si="0"/>
        <v>6.5038951724137926</v>
      </c>
    </row>
    <row r="60" spans="1:3" x14ac:dyDescent="0.25">
      <c r="A60">
        <v>54</v>
      </c>
      <c r="B60">
        <f>COMP*BitRes/(BitRes-A60)</f>
        <v>0.88712871287128703</v>
      </c>
      <c r="C60">
        <f t="shared" si="0"/>
        <v>6.5385679207920786</v>
      </c>
    </row>
    <row r="61" spans="1:3" x14ac:dyDescent="0.25">
      <c r="A61">
        <v>55</v>
      </c>
      <c r="B61">
        <f>COMP*BitRes/(BitRes-A61)</f>
        <v>0.89154228855721385</v>
      </c>
      <c r="C61">
        <f t="shared" si="0"/>
        <v>6.5735856716417906</v>
      </c>
    </row>
    <row r="62" spans="1:3" x14ac:dyDescent="0.25">
      <c r="A62">
        <v>56</v>
      </c>
      <c r="B62">
        <f>COMP*BitRes/(BitRes-A62)</f>
        <v>0.89599999999999991</v>
      </c>
      <c r="C62">
        <f t="shared" si="0"/>
        <v>6.6089535999999995</v>
      </c>
    </row>
    <row r="63" spans="1:3" x14ac:dyDescent="0.25">
      <c r="A63">
        <v>57</v>
      </c>
      <c r="B63">
        <f>COMP*BitRes/(BitRes-A63)</f>
        <v>0.90050251256281399</v>
      </c>
      <c r="C63">
        <f t="shared" si="0"/>
        <v>6.6446769849246223</v>
      </c>
    </row>
    <row r="64" spans="1:3" x14ac:dyDescent="0.25">
      <c r="A64">
        <v>58</v>
      </c>
      <c r="B64">
        <f>COMP*BitRes/(BitRes-A64)</f>
        <v>0.90505050505050499</v>
      </c>
      <c r="C64">
        <f t="shared" si="0"/>
        <v>6.6807612121212117</v>
      </c>
    </row>
    <row r="65" spans="1:3" x14ac:dyDescent="0.25">
      <c r="A65">
        <v>59</v>
      </c>
      <c r="B65">
        <f>COMP*BitRes/(BitRes-A65)</f>
        <v>0.90964467005076133</v>
      </c>
      <c r="C65">
        <f t="shared" si="0"/>
        <v>6.7172117766497452</v>
      </c>
    </row>
    <row r="66" spans="1:3" x14ac:dyDescent="0.25">
      <c r="A66">
        <v>60</v>
      </c>
      <c r="B66">
        <f>COMP*BitRes/(BitRes-A66)</f>
        <v>0.91428571428571426</v>
      </c>
      <c r="C66">
        <f t="shared" si="0"/>
        <v>6.754034285714285</v>
      </c>
    </row>
    <row r="67" spans="1:3" x14ac:dyDescent="0.25">
      <c r="A67">
        <v>61</v>
      </c>
      <c r="B67">
        <f>COMP*BitRes/(BitRes-A67)</f>
        <v>0.91897435897435886</v>
      </c>
      <c r="C67">
        <f t="shared" si="0"/>
        <v>6.791234461538461</v>
      </c>
    </row>
    <row r="68" spans="1:3" x14ac:dyDescent="0.25">
      <c r="A68">
        <v>62</v>
      </c>
      <c r="B68">
        <f>COMP*BitRes/(BitRes-A68)</f>
        <v>0.9237113402061855</v>
      </c>
      <c r="C68">
        <f t="shared" si="0"/>
        <v>6.8288181443298965</v>
      </c>
    </row>
    <row r="69" spans="1:3" x14ac:dyDescent="0.25">
      <c r="A69">
        <v>63</v>
      </c>
      <c r="B69">
        <f>COMP*BitRes/(BitRes-A69)</f>
        <v>0.92849740932642477</v>
      </c>
      <c r="C69">
        <f t="shared" si="0"/>
        <v>6.8667912953367871</v>
      </c>
    </row>
    <row r="70" spans="1:3" x14ac:dyDescent="0.25">
      <c r="A70">
        <v>64</v>
      </c>
      <c r="B70">
        <f>COMP*BitRes/(BitRes-A70)</f>
        <v>0.93333333333333324</v>
      </c>
      <c r="C70">
        <f t="shared" si="0"/>
        <v>6.9051599999999995</v>
      </c>
    </row>
    <row r="71" spans="1:3" x14ac:dyDescent="0.25">
      <c r="A71">
        <v>65</v>
      </c>
      <c r="B71">
        <f>COMP*BitRes/(BitRes-A71)</f>
        <v>0.93821989528795802</v>
      </c>
      <c r="C71">
        <f t="shared" ref="C71:C134" si="1">B71*$B$3+$B$4</f>
        <v>6.9439304712041876</v>
      </c>
    </row>
    <row r="72" spans="1:3" x14ac:dyDescent="0.25">
      <c r="A72">
        <v>66</v>
      </c>
      <c r="B72">
        <f>COMP*BitRes/(BitRes-A72)</f>
        <v>0.94315789473684208</v>
      </c>
      <c r="C72">
        <f t="shared" si="1"/>
        <v>6.9831090526315789</v>
      </c>
    </row>
    <row r="73" spans="1:3" x14ac:dyDescent="0.25">
      <c r="A73">
        <v>67</v>
      </c>
      <c r="B73">
        <f>COMP*BitRes/(BitRes-A73)</f>
        <v>0.94814814814814807</v>
      </c>
      <c r="C73">
        <f t="shared" si="1"/>
        <v>7.0227022222222217</v>
      </c>
    </row>
    <row r="74" spans="1:3" x14ac:dyDescent="0.25">
      <c r="A74">
        <v>68</v>
      </c>
      <c r="B74">
        <f>COMP*BitRes/(BitRes-A74)</f>
        <v>0.95319148936170206</v>
      </c>
      <c r="C74">
        <f t="shared" si="1"/>
        <v>7.0627165957446802</v>
      </c>
    </row>
    <row r="75" spans="1:3" x14ac:dyDescent="0.25">
      <c r="A75">
        <v>69</v>
      </c>
      <c r="B75">
        <f>COMP*BitRes/(BitRes-A75)</f>
        <v>0.9582887700534759</v>
      </c>
      <c r="C75">
        <f t="shared" si="1"/>
        <v>7.1031589304812828</v>
      </c>
    </row>
    <row r="76" spans="1:3" x14ac:dyDescent="0.25">
      <c r="A76">
        <v>70</v>
      </c>
      <c r="B76">
        <f>COMP*BitRes/(BitRes-A76)</f>
        <v>0.96344086021505371</v>
      </c>
      <c r="C76">
        <f t="shared" si="1"/>
        <v>7.1440361290322576</v>
      </c>
    </row>
    <row r="77" spans="1:3" x14ac:dyDescent="0.25">
      <c r="A77">
        <v>71</v>
      </c>
      <c r="B77">
        <f>COMP*BitRes/(BitRes-A77)</f>
        <v>0.96864864864864864</v>
      </c>
      <c r="C77">
        <f t="shared" si="1"/>
        <v>7.1853552432432428</v>
      </c>
    </row>
    <row r="78" spans="1:3" x14ac:dyDescent="0.25">
      <c r="A78">
        <v>72</v>
      </c>
      <c r="B78">
        <f>COMP*BitRes/(BitRes-A78)</f>
        <v>0.9739130434782608</v>
      </c>
      <c r="C78">
        <f t="shared" si="1"/>
        <v>7.2271234782608689</v>
      </c>
    </row>
    <row r="79" spans="1:3" x14ac:dyDescent="0.25">
      <c r="A79">
        <v>73</v>
      </c>
      <c r="B79">
        <f>COMP*BitRes/(BitRes-A79)</f>
        <v>0.97923497267759552</v>
      </c>
      <c r="C79">
        <f t="shared" si="1"/>
        <v>7.2693481967213103</v>
      </c>
    </row>
    <row r="80" spans="1:3" x14ac:dyDescent="0.25">
      <c r="A80">
        <v>74</v>
      </c>
      <c r="B80">
        <f>COMP*BitRes/(BitRes-A80)</f>
        <v>0.98461538461538456</v>
      </c>
      <c r="C80">
        <f t="shared" si="1"/>
        <v>7.3120369230769224</v>
      </c>
    </row>
    <row r="81" spans="1:3" x14ac:dyDescent="0.25">
      <c r="A81">
        <v>75</v>
      </c>
      <c r="B81">
        <f>COMP*BitRes/(BitRes-A81)</f>
        <v>0.99005524861878447</v>
      </c>
      <c r="C81">
        <f t="shared" si="1"/>
        <v>7.355197348066298</v>
      </c>
    </row>
    <row r="82" spans="1:3" x14ac:dyDescent="0.25">
      <c r="A82">
        <v>76</v>
      </c>
      <c r="B82">
        <f>COMP*BitRes/(BitRes-A82)</f>
        <v>0.99555555555555553</v>
      </c>
      <c r="C82">
        <f t="shared" si="1"/>
        <v>7.3988373333333328</v>
      </c>
    </row>
    <row r="83" spans="1:3" x14ac:dyDescent="0.25">
      <c r="A83">
        <v>77</v>
      </c>
      <c r="B83">
        <f>COMP*BitRes/(BitRes-A83)</f>
        <v>1.001117318435754</v>
      </c>
      <c r="C83">
        <f t="shared" si="1"/>
        <v>7.4429649162011158</v>
      </c>
    </row>
    <row r="84" spans="1:3" x14ac:dyDescent="0.25">
      <c r="A84">
        <v>78</v>
      </c>
      <c r="B84">
        <f>COMP*BitRes/(BitRes-A84)</f>
        <v>1.0067415730337077</v>
      </c>
      <c r="C84">
        <f t="shared" si="1"/>
        <v>7.4875883146067403</v>
      </c>
    </row>
    <row r="85" spans="1:3" x14ac:dyDescent="0.25">
      <c r="A85">
        <v>79</v>
      </c>
      <c r="B85">
        <f>COMP*BitRes/(BitRes-A85)</f>
        <v>1.0124293785310734</v>
      </c>
      <c r="C85">
        <f t="shared" si="1"/>
        <v>7.5327159322033896</v>
      </c>
    </row>
    <row r="86" spans="1:3" x14ac:dyDescent="0.25">
      <c r="A86">
        <v>80</v>
      </c>
      <c r="B86">
        <f>COMP*BitRes/(BitRes-A86)</f>
        <v>1.0181818181818181</v>
      </c>
      <c r="C86">
        <f t="shared" si="1"/>
        <v>7.5783563636363631</v>
      </c>
    </row>
    <row r="87" spans="1:3" x14ac:dyDescent="0.25">
      <c r="A87">
        <v>81</v>
      </c>
      <c r="B87">
        <f>COMP*BitRes/(BitRes-A87)</f>
        <v>1.024</v>
      </c>
      <c r="C87">
        <f t="shared" si="1"/>
        <v>7.6245183999999995</v>
      </c>
    </row>
    <row r="88" spans="1:3" x14ac:dyDescent="0.25">
      <c r="A88">
        <v>82</v>
      </c>
      <c r="B88">
        <f>COMP*BitRes/(BitRes-A88)</f>
        <v>1.0298850574712644</v>
      </c>
      <c r="C88">
        <f t="shared" si="1"/>
        <v>7.6712110344827593</v>
      </c>
    </row>
    <row r="89" spans="1:3" x14ac:dyDescent="0.25">
      <c r="A89">
        <v>83</v>
      </c>
      <c r="B89">
        <f>COMP*BitRes/(BitRes-A89)</f>
        <v>1.0358381502890173</v>
      </c>
      <c r="C89">
        <f t="shared" si="1"/>
        <v>7.7184434682080916</v>
      </c>
    </row>
    <row r="90" spans="1:3" x14ac:dyDescent="0.25">
      <c r="A90">
        <v>84</v>
      </c>
      <c r="B90">
        <f>COMP*BitRes/(BitRes-A90)</f>
        <v>1.0418604651162791</v>
      </c>
      <c r="C90">
        <f t="shared" si="1"/>
        <v>7.7662251162790703</v>
      </c>
    </row>
    <row r="91" spans="1:3" x14ac:dyDescent="0.25">
      <c r="A91">
        <v>85</v>
      </c>
      <c r="B91">
        <f>COMP*BitRes/(BitRes-A91)</f>
        <v>1.0479532163742689</v>
      </c>
      <c r="C91">
        <f t="shared" si="1"/>
        <v>7.8145656140350859</v>
      </c>
    </row>
    <row r="92" spans="1:3" x14ac:dyDescent="0.25">
      <c r="A92">
        <v>86</v>
      </c>
      <c r="B92">
        <f>COMP*BitRes/(BitRes-A92)</f>
        <v>1.0541176470588234</v>
      </c>
      <c r="C92">
        <f t="shared" si="1"/>
        <v>7.8634748235294101</v>
      </c>
    </row>
    <row r="93" spans="1:3" x14ac:dyDescent="0.25">
      <c r="A93">
        <v>87</v>
      </c>
      <c r="B93">
        <f>COMP*BitRes/(BitRes-A93)</f>
        <v>1.0603550295857989</v>
      </c>
      <c r="C93">
        <f t="shared" si="1"/>
        <v>7.9129628402366858</v>
      </c>
    </row>
    <row r="94" spans="1:3" x14ac:dyDescent="0.25">
      <c r="A94">
        <v>88</v>
      </c>
      <c r="B94">
        <f>COMP*BitRes/(BitRes-A94)</f>
        <v>1.0666666666666667</v>
      </c>
      <c r="C94">
        <f t="shared" si="1"/>
        <v>7.9630399999999995</v>
      </c>
    </row>
    <row r="95" spans="1:3" x14ac:dyDescent="0.25">
      <c r="A95">
        <v>89</v>
      </c>
      <c r="B95">
        <f>COMP*BitRes/(BitRes-A95)</f>
        <v>1.0730538922155688</v>
      </c>
      <c r="C95">
        <f t="shared" si="1"/>
        <v>8.0137168862275434</v>
      </c>
    </row>
    <row r="96" spans="1:3" x14ac:dyDescent="0.25">
      <c r="A96">
        <v>90</v>
      </c>
      <c r="B96">
        <f>COMP*BitRes/(BitRes-A96)</f>
        <v>1.0795180722891566</v>
      </c>
      <c r="C96">
        <f t="shared" si="1"/>
        <v>8.0650043373493983</v>
      </c>
    </row>
    <row r="97" spans="1:3" x14ac:dyDescent="0.25">
      <c r="A97">
        <v>91</v>
      </c>
      <c r="B97">
        <f>COMP*BitRes/(BitRes-A97)</f>
        <v>1.0860606060606059</v>
      </c>
      <c r="C97">
        <f t="shared" si="1"/>
        <v>8.116913454545454</v>
      </c>
    </row>
    <row r="98" spans="1:3" x14ac:dyDescent="0.25">
      <c r="A98">
        <v>92</v>
      </c>
      <c r="B98">
        <f>COMP*BitRes/(BitRes-A98)</f>
        <v>1.0926829268292682</v>
      </c>
      <c r="C98">
        <f t="shared" si="1"/>
        <v>8.1694556097560955</v>
      </c>
    </row>
    <row r="99" spans="1:3" x14ac:dyDescent="0.25">
      <c r="A99">
        <v>93</v>
      </c>
      <c r="B99">
        <f>COMP*BitRes/(BitRes-A99)</f>
        <v>1.0993865030674845</v>
      </c>
      <c r="C99">
        <f t="shared" si="1"/>
        <v>8.2226424539877296</v>
      </c>
    </row>
    <row r="100" spans="1:3" x14ac:dyDescent="0.25">
      <c r="A100">
        <v>94</v>
      </c>
      <c r="B100">
        <f>COMP*BitRes/(BitRes-A100)</f>
        <v>1.1061728395061727</v>
      </c>
      <c r="C100">
        <f t="shared" si="1"/>
        <v>8.2764859259259254</v>
      </c>
    </row>
    <row r="101" spans="1:3" x14ac:dyDescent="0.25">
      <c r="A101">
        <v>95</v>
      </c>
      <c r="B101">
        <f>COMP*BitRes/(BitRes-A101)</f>
        <v>1.1130434782608696</v>
      </c>
      <c r="C101">
        <f t="shared" si="1"/>
        <v>8.3309982608695652</v>
      </c>
    </row>
    <row r="102" spans="1:3" x14ac:dyDescent="0.25">
      <c r="A102">
        <v>96</v>
      </c>
      <c r="B102">
        <f>COMP*BitRes/(BitRes-A102)</f>
        <v>1.1199999999999999</v>
      </c>
      <c r="C102">
        <f t="shared" si="1"/>
        <v>8.3861919999999994</v>
      </c>
    </row>
    <row r="103" spans="1:3" x14ac:dyDescent="0.25">
      <c r="A103">
        <v>97</v>
      </c>
      <c r="B103">
        <f>COMP*BitRes/(BitRes-A103)</f>
        <v>1.1270440251572327</v>
      </c>
      <c r="C103">
        <f t="shared" si="1"/>
        <v>8.4420799999999989</v>
      </c>
    </row>
    <row r="104" spans="1:3" x14ac:dyDescent="0.25">
      <c r="A104">
        <v>98</v>
      </c>
      <c r="B104">
        <f>COMP*BitRes/(BitRes-A104)</f>
        <v>1.1341772151898732</v>
      </c>
      <c r="C104">
        <f t="shared" si="1"/>
        <v>8.498675443037973</v>
      </c>
    </row>
    <row r="105" spans="1:3" x14ac:dyDescent="0.25">
      <c r="A105">
        <v>99</v>
      </c>
      <c r="B105">
        <f>COMP*BitRes/(BitRes-A105)</f>
        <v>1.1414012738853503</v>
      </c>
      <c r="C105">
        <f t="shared" si="1"/>
        <v>8.5559918471337575</v>
      </c>
    </row>
    <row r="106" spans="1:3" x14ac:dyDescent="0.25">
      <c r="A106">
        <v>100</v>
      </c>
      <c r="B106">
        <f>COMP*BitRes/(BitRes-A106)</f>
        <v>1.1487179487179486</v>
      </c>
      <c r="C106">
        <f t="shared" si="1"/>
        <v>8.6140430769230765</v>
      </c>
    </row>
    <row r="107" spans="1:3" x14ac:dyDescent="0.25">
      <c r="A107">
        <v>101</v>
      </c>
      <c r="B107">
        <f>COMP*BitRes/(BitRes-A107)</f>
        <v>1.1561290322580644</v>
      </c>
      <c r="C107">
        <f t="shared" si="1"/>
        <v>8.6728433548387081</v>
      </c>
    </row>
    <row r="108" spans="1:3" x14ac:dyDescent="0.25">
      <c r="A108">
        <v>102</v>
      </c>
      <c r="B108">
        <f>COMP*BitRes/(BitRes-A108)</f>
        <v>1.1636363636363636</v>
      </c>
      <c r="C108">
        <f t="shared" si="1"/>
        <v>8.7324072727272721</v>
      </c>
    </row>
    <row r="109" spans="1:3" x14ac:dyDescent="0.25">
      <c r="A109">
        <v>103</v>
      </c>
      <c r="B109">
        <f>COMP*BitRes/(BitRes-A109)</f>
        <v>1.1712418300653593</v>
      </c>
      <c r="C109">
        <f t="shared" si="1"/>
        <v>8.7927498039215664</v>
      </c>
    </row>
    <row r="110" spans="1:3" x14ac:dyDescent="0.25">
      <c r="A110">
        <v>104</v>
      </c>
      <c r="B110">
        <f>COMP*BitRes/(BitRes-A110)</f>
        <v>1.1789473684210525</v>
      </c>
      <c r="C110">
        <f t="shared" si="1"/>
        <v>8.8538863157894721</v>
      </c>
    </row>
    <row r="111" spans="1:3" x14ac:dyDescent="0.25">
      <c r="A111">
        <v>105</v>
      </c>
      <c r="B111">
        <f>COMP*BitRes/(BitRes-A111)</f>
        <v>1.1867549668874171</v>
      </c>
      <c r="C111">
        <f t="shared" si="1"/>
        <v>8.9158325827814568</v>
      </c>
    </row>
    <row r="112" spans="1:3" x14ac:dyDescent="0.25">
      <c r="A112">
        <v>106</v>
      </c>
      <c r="B112">
        <f>COMP*BitRes/(BitRes-A112)</f>
        <v>1.1946666666666665</v>
      </c>
      <c r="C112">
        <f t="shared" si="1"/>
        <v>8.9786047999999994</v>
      </c>
    </row>
    <row r="113" spans="1:3" x14ac:dyDescent="0.25">
      <c r="A113">
        <v>107</v>
      </c>
      <c r="B113">
        <f>COMP*BitRes/(BitRes-A113)</f>
        <v>1.2026845637583892</v>
      </c>
      <c r="C113">
        <f t="shared" si="1"/>
        <v>9.0422195973154356</v>
      </c>
    </row>
    <row r="114" spans="1:3" x14ac:dyDescent="0.25">
      <c r="A114">
        <v>108</v>
      </c>
      <c r="B114">
        <f>COMP*BitRes/(BitRes-A114)</f>
        <v>1.2108108108108107</v>
      </c>
      <c r="C114">
        <f t="shared" si="1"/>
        <v>9.1066940540540529</v>
      </c>
    </row>
    <row r="115" spans="1:3" x14ac:dyDescent="0.25">
      <c r="A115">
        <v>109</v>
      </c>
      <c r="B115">
        <f>COMP*BitRes/(BitRes-A115)</f>
        <v>1.2190476190476189</v>
      </c>
      <c r="C115">
        <f t="shared" si="1"/>
        <v>9.1720457142857139</v>
      </c>
    </row>
    <row r="116" spans="1:3" x14ac:dyDescent="0.25">
      <c r="A116">
        <v>110</v>
      </c>
      <c r="B116">
        <f>COMP*BitRes/(BitRes-A116)</f>
        <v>1.2273972602739724</v>
      </c>
      <c r="C116">
        <f t="shared" si="1"/>
        <v>9.2382926027397243</v>
      </c>
    </row>
    <row r="117" spans="1:3" x14ac:dyDescent="0.25">
      <c r="A117">
        <v>111</v>
      </c>
      <c r="B117">
        <f>COMP*BitRes/(BitRes-A117)</f>
        <v>1.2358620689655171</v>
      </c>
      <c r="C117">
        <f t="shared" si="1"/>
        <v>9.3054532413793094</v>
      </c>
    </row>
    <row r="118" spans="1:3" x14ac:dyDescent="0.25">
      <c r="A118">
        <v>112</v>
      </c>
      <c r="B118">
        <f>COMP*BitRes/(BitRes-A118)</f>
        <v>1.2444444444444445</v>
      </c>
      <c r="C118">
        <f t="shared" si="1"/>
        <v>9.373546666666666</v>
      </c>
    </row>
    <row r="119" spans="1:3" x14ac:dyDescent="0.25">
      <c r="A119">
        <v>113</v>
      </c>
      <c r="B119">
        <f>COMP*BitRes/(BitRes-A119)</f>
        <v>1.253146853146853</v>
      </c>
      <c r="C119">
        <f t="shared" si="1"/>
        <v>9.4425924475524461</v>
      </c>
    </row>
    <row r="120" spans="1:3" x14ac:dyDescent="0.25">
      <c r="A120">
        <v>114</v>
      </c>
      <c r="B120">
        <f>COMP*BitRes/(BitRes-A120)</f>
        <v>1.2619718309859154</v>
      </c>
      <c r="C120">
        <f t="shared" si="1"/>
        <v>9.5126107042253505</v>
      </c>
    </row>
    <row r="121" spans="1:3" x14ac:dyDescent="0.25">
      <c r="A121">
        <v>115</v>
      </c>
      <c r="B121">
        <f>COMP*BitRes/(BitRes-A121)</f>
        <v>1.2709219858156027</v>
      </c>
      <c r="C121">
        <f t="shared" si="1"/>
        <v>9.5836221276595737</v>
      </c>
    </row>
    <row r="122" spans="1:3" x14ac:dyDescent="0.25">
      <c r="A122">
        <v>116</v>
      </c>
      <c r="B122">
        <f>COMP*BitRes/(BitRes-A122)</f>
        <v>1.28</v>
      </c>
      <c r="C122">
        <f t="shared" si="1"/>
        <v>9.6556479999999993</v>
      </c>
    </row>
    <row r="123" spans="1:3" x14ac:dyDescent="0.25">
      <c r="A123">
        <v>117</v>
      </c>
      <c r="B123">
        <f>COMP*BitRes/(BitRes-A123)</f>
        <v>1.2892086330935251</v>
      </c>
      <c r="C123">
        <f t="shared" si="1"/>
        <v>9.7287102158273377</v>
      </c>
    </row>
    <row r="124" spans="1:3" x14ac:dyDescent="0.25">
      <c r="A124">
        <v>118</v>
      </c>
      <c r="B124">
        <f>COMP*BitRes/(BitRes-A124)</f>
        <v>1.2985507246376811</v>
      </c>
      <c r="C124">
        <f t="shared" si="1"/>
        <v>9.8028313043478246</v>
      </c>
    </row>
    <row r="125" spans="1:3" x14ac:dyDescent="0.25">
      <c r="A125">
        <v>119</v>
      </c>
      <c r="B125">
        <f>COMP*BitRes/(BitRes-A125)</f>
        <v>1.308029197080292</v>
      </c>
      <c r="C125">
        <f t="shared" si="1"/>
        <v>9.8780344525547452</v>
      </c>
    </row>
    <row r="126" spans="1:3" x14ac:dyDescent="0.25">
      <c r="A126">
        <v>120</v>
      </c>
      <c r="B126">
        <f>COMP*BitRes/(BitRes-A126)</f>
        <v>1.3176470588235294</v>
      </c>
      <c r="C126">
        <f t="shared" si="1"/>
        <v>9.9543435294117639</v>
      </c>
    </row>
    <row r="127" spans="1:3" x14ac:dyDescent="0.25">
      <c r="A127">
        <v>121</v>
      </c>
      <c r="B127">
        <f>COMP*BitRes/(BitRes-A127)</f>
        <v>1.3274074074074074</v>
      </c>
      <c r="C127">
        <f t="shared" si="1"/>
        <v>10.03178311111111</v>
      </c>
    </row>
    <row r="128" spans="1:3" x14ac:dyDescent="0.25">
      <c r="A128">
        <v>122</v>
      </c>
      <c r="B128">
        <f>COMP*BitRes/(BitRes-A128)</f>
        <v>1.3373134328358207</v>
      </c>
      <c r="C128">
        <f t="shared" si="1"/>
        <v>10.110378507462684</v>
      </c>
    </row>
    <row r="129" spans="1:3" x14ac:dyDescent="0.25">
      <c r="A129">
        <v>123</v>
      </c>
      <c r="B129">
        <f>COMP*BitRes/(BitRes-A129)</f>
        <v>1.3473684210526315</v>
      </c>
      <c r="C129">
        <f t="shared" si="1"/>
        <v>10.190155789473684</v>
      </c>
    </row>
    <row r="130" spans="1:3" x14ac:dyDescent="0.25">
      <c r="A130">
        <v>124</v>
      </c>
      <c r="B130">
        <f>COMP*BitRes/(BitRes-A130)</f>
        <v>1.3575757575757574</v>
      </c>
      <c r="C130">
        <f t="shared" si="1"/>
        <v>10.271141818181817</v>
      </c>
    </row>
    <row r="131" spans="1:3" x14ac:dyDescent="0.25">
      <c r="A131">
        <v>125</v>
      </c>
      <c r="B131">
        <f>COMP*BitRes/(BitRes-A131)</f>
        <v>1.3679389312977099</v>
      </c>
      <c r="C131">
        <f t="shared" si="1"/>
        <v>10.353364274809159</v>
      </c>
    </row>
    <row r="132" spans="1:3" x14ac:dyDescent="0.25">
      <c r="A132">
        <v>126</v>
      </c>
      <c r="B132">
        <f>COMP*BitRes/(BitRes-A132)</f>
        <v>1.3784615384615384</v>
      </c>
      <c r="C132">
        <f t="shared" si="1"/>
        <v>10.436851692307691</v>
      </c>
    </row>
    <row r="133" spans="1:3" x14ac:dyDescent="0.25">
      <c r="A133">
        <v>127</v>
      </c>
      <c r="B133">
        <f>COMP*BitRes/(BitRes-A133)</f>
        <v>1.3891472868217054</v>
      </c>
      <c r="C133">
        <f t="shared" si="1"/>
        <v>10.521633488372093</v>
      </c>
    </row>
    <row r="134" spans="1:3" x14ac:dyDescent="0.25">
      <c r="A134">
        <v>128</v>
      </c>
      <c r="B134">
        <f>COMP*BitRes/(BitRes-A134)</f>
        <v>1.4</v>
      </c>
      <c r="C134">
        <f t="shared" si="1"/>
        <v>10.60774</v>
      </c>
    </row>
    <row r="135" spans="1:3" x14ac:dyDescent="0.25">
      <c r="A135">
        <v>129</v>
      </c>
      <c r="B135">
        <f>COMP*BitRes/(BitRes-A135)</f>
        <v>1.4110236220472441</v>
      </c>
      <c r="C135">
        <f t="shared" ref="C135:C198" si="2">B135*$B$3+$B$4</f>
        <v>10.69520251968504</v>
      </c>
    </row>
    <row r="136" spans="1:3" x14ac:dyDescent="0.25">
      <c r="A136">
        <v>130</v>
      </c>
      <c r="B136">
        <f>COMP*BitRes/(BitRes-A136)</f>
        <v>1.4222222222222221</v>
      </c>
      <c r="C136">
        <f t="shared" si="2"/>
        <v>10.784053333333333</v>
      </c>
    </row>
    <row r="137" spans="1:3" x14ac:dyDescent="0.25">
      <c r="A137">
        <v>131</v>
      </c>
      <c r="B137">
        <f>COMP*BitRes/(BitRes-A137)</f>
        <v>1.4336</v>
      </c>
      <c r="C137">
        <f t="shared" si="2"/>
        <v>10.87432576</v>
      </c>
    </row>
    <row r="138" spans="1:3" x14ac:dyDescent="0.25">
      <c r="A138">
        <v>132</v>
      </c>
      <c r="B138">
        <f>COMP*BitRes/(BitRes-A138)</f>
        <v>1.4451612903225806</v>
      </c>
      <c r="C138">
        <f t="shared" si="2"/>
        <v>10.966054193548386</v>
      </c>
    </row>
    <row r="139" spans="1:3" x14ac:dyDescent="0.25">
      <c r="A139">
        <v>133</v>
      </c>
      <c r="B139">
        <f>COMP*BitRes/(BitRes-A139)</f>
        <v>1.4569105691056909</v>
      </c>
      <c r="C139">
        <f t="shared" si="2"/>
        <v>11.059274146341462</v>
      </c>
    </row>
    <row r="140" spans="1:3" x14ac:dyDescent="0.25">
      <c r="A140">
        <v>134</v>
      </c>
      <c r="B140">
        <f>COMP*BitRes/(BitRes-A140)</f>
        <v>1.4688524590163934</v>
      </c>
      <c r="C140">
        <f t="shared" si="2"/>
        <v>11.154022295081967</v>
      </c>
    </row>
    <row r="141" spans="1:3" x14ac:dyDescent="0.25">
      <c r="A141">
        <v>135</v>
      </c>
      <c r="B141">
        <f>COMP*BitRes/(BitRes-A141)</f>
        <v>1.48099173553719</v>
      </c>
      <c r="C141">
        <f t="shared" si="2"/>
        <v>11.250336528925619</v>
      </c>
    </row>
    <row r="142" spans="1:3" x14ac:dyDescent="0.25">
      <c r="A142">
        <v>136</v>
      </c>
      <c r="B142">
        <f>COMP*BitRes/(BitRes-A142)</f>
        <v>1.4933333333333332</v>
      </c>
      <c r="C142">
        <f t="shared" si="2"/>
        <v>11.348255999999999</v>
      </c>
    </row>
    <row r="143" spans="1:3" x14ac:dyDescent="0.25">
      <c r="A143">
        <v>137</v>
      </c>
      <c r="B143">
        <f>COMP*BitRes/(BitRes-A143)</f>
        <v>1.5058823529411764</v>
      </c>
      <c r="C143">
        <f t="shared" si="2"/>
        <v>11.447821176470589</v>
      </c>
    </row>
    <row r="144" spans="1:3" x14ac:dyDescent="0.25">
      <c r="A144">
        <v>138</v>
      </c>
      <c r="B144">
        <f>COMP*BitRes/(BitRes-A144)</f>
        <v>1.51864406779661</v>
      </c>
      <c r="C144">
        <f t="shared" si="2"/>
        <v>11.549073898305084</v>
      </c>
    </row>
    <row r="145" spans="1:3" x14ac:dyDescent="0.25">
      <c r="A145">
        <v>139</v>
      </c>
      <c r="B145">
        <f>COMP*BitRes/(BitRes-A145)</f>
        <v>1.5316239316239315</v>
      </c>
      <c r="C145">
        <f t="shared" si="2"/>
        <v>11.652057435897435</v>
      </c>
    </row>
    <row r="146" spans="1:3" x14ac:dyDescent="0.25">
      <c r="A146">
        <v>140</v>
      </c>
      <c r="B146">
        <f>COMP*BitRes/(BitRes-A146)</f>
        <v>1.5448275862068965</v>
      </c>
      <c r="C146">
        <f t="shared" si="2"/>
        <v>11.756816551724137</v>
      </c>
    </row>
    <row r="147" spans="1:3" x14ac:dyDescent="0.25">
      <c r="A147">
        <v>141</v>
      </c>
      <c r="B147">
        <f>COMP*BitRes/(BitRes-A147)</f>
        <v>1.5582608695652174</v>
      </c>
      <c r="C147">
        <f t="shared" si="2"/>
        <v>11.86339756521739</v>
      </c>
    </row>
    <row r="148" spans="1:3" x14ac:dyDescent="0.25">
      <c r="A148">
        <v>142</v>
      </c>
      <c r="B148">
        <f>COMP*BitRes/(BitRes-A148)</f>
        <v>1.5719298245614035</v>
      </c>
      <c r="C148">
        <f t="shared" si="2"/>
        <v>11.971848421052632</v>
      </c>
    </row>
    <row r="149" spans="1:3" x14ac:dyDescent="0.25">
      <c r="A149">
        <v>143</v>
      </c>
      <c r="B149">
        <f>COMP*BitRes/(BitRes-A149)</f>
        <v>1.5858407079646017</v>
      </c>
      <c r="C149">
        <f t="shared" si="2"/>
        <v>12.082218761061947</v>
      </c>
    </row>
    <row r="150" spans="1:3" x14ac:dyDescent="0.25">
      <c r="A150">
        <v>144</v>
      </c>
      <c r="B150">
        <f>COMP*BitRes/(BitRes-A150)</f>
        <v>1.5999999999999999</v>
      </c>
      <c r="C150">
        <f t="shared" si="2"/>
        <v>12.194559999999999</v>
      </c>
    </row>
    <row r="151" spans="1:3" x14ac:dyDescent="0.25">
      <c r="A151">
        <v>145</v>
      </c>
      <c r="B151">
        <f>COMP*BitRes/(BitRes-A151)</f>
        <v>1.6144144144144144</v>
      </c>
      <c r="C151">
        <f t="shared" si="2"/>
        <v>12.308925405405406</v>
      </c>
    </row>
    <row r="152" spans="1:3" x14ac:dyDescent="0.25">
      <c r="A152">
        <v>146</v>
      </c>
      <c r="B152">
        <f>COMP*BitRes/(BitRes-A152)</f>
        <v>1.6290909090909089</v>
      </c>
      <c r="C152">
        <f t="shared" si="2"/>
        <v>12.425370181818181</v>
      </c>
    </row>
    <row r="153" spans="1:3" x14ac:dyDescent="0.25">
      <c r="A153">
        <v>147</v>
      </c>
      <c r="B153">
        <f>COMP*BitRes/(BitRes-A153)</f>
        <v>1.6440366972477063</v>
      </c>
      <c r="C153">
        <f t="shared" si="2"/>
        <v>12.543951559633026</v>
      </c>
    </row>
    <row r="154" spans="1:3" x14ac:dyDescent="0.25">
      <c r="A154">
        <v>148</v>
      </c>
      <c r="B154">
        <f>COMP*BitRes/(BitRes-A154)</f>
        <v>1.6592592592592592</v>
      </c>
      <c r="C154">
        <f t="shared" si="2"/>
        <v>12.664728888888888</v>
      </c>
    </row>
    <row r="155" spans="1:3" x14ac:dyDescent="0.25">
      <c r="A155">
        <v>149</v>
      </c>
      <c r="B155">
        <f>COMP*BitRes/(BitRes-A155)</f>
        <v>1.6747663551401868</v>
      </c>
      <c r="C155">
        <f t="shared" si="2"/>
        <v>12.787763738317755</v>
      </c>
    </row>
    <row r="156" spans="1:3" x14ac:dyDescent="0.25">
      <c r="A156">
        <v>150</v>
      </c>
      <c r="B156">
        <f>COMP*BitRes/(BitRes-A156)</f>
        <v>1.6905660377358489</v>
      </c>
      <c r="C156">
        <f t="shared" si="2"/>
        <v>12.913119999999999</v>
      </c>
    </row>
    <row r="157" spans="1:3" x14ac:dyDescent="0.25">
      <c r="A157">
        <v>151</v>
      </c>
      <c r="B157">
        <f>COMP*BitRes/(BitRes-A157)</f>
        <v>1.7066666666666666</v>
      </c>
      <c r="C157">
        <f t="shared" si="2"/>
        <v>13.040863999999999</v>
      </c>
    </row>
    <row r="158" spans="1:3" x14ac:dyDescent="0.25">
      <c r="A158">
        <v>152</v>
      </c>
      <c r="B158">
        <f>COMP*BitRes/(BitRes-A158)</f>
        <v>1.723076923076923</v>
      </c>
      <c r="C158">
        <f t="shared" si="2"/>
        <v>13.171064615384614</v>
      </c>
    </row>
    <row r="159" spans="1:3" x14ac:dyDescent="0.25">
      <c r="A159">
        <v>153</v>
      </c>
      <c r="B159">
        <f>COMP*BitRes/(BitRes-A159)</f>
        <v>1.7398058252427184</v>
      </c>
      <c r="C159">
        <f t="shared" si="2"/>
        <v>13.303793398058252</v>
      </c>
    </row>
    <row r="160" spans="1:3" x14ac:dyDescent="0.25">
      <c r="A160">
        <v>154</v>
      </c>
      <c r="B160">
        <f>COMP*BitRes/(BitRes-A160)</f>
        <v>1.7568627450980392</v>
      </c>
      <c r="C160">
        <f t="shared" si="2"/>
        <v>13.439124705882353</v>
      </c>
    </row>
    <row r="161" spans="1:3" x14ac:dyDescent="0.25">
      <c r="A161">
        <v>155</v>
      </c>
      <c r="B161">
        <f>COMP*BitRes/(BitRes-A161)</f>
        <v>1.7742574257425741</v>
      </c>
      <c r="C161">
        <f t="shared" si="2"/>
        <v>13.577135841584157</v>
      </c>
    </row>
    <row r="162" spans="1:3" x14ac:dyDescent="0.25">
      <c r="A162">
        <v>156</v>
      </c>
      <c r="B162">
        <f>COMP*BitRes/(BitRes-A162)</f>
        <v>1.7919999999999998</v>
      </c>
      <c r="C162">
        <f t="shared" si="2"/>
        <v>13.717907199999999</v>
      </c>
    </row>
    <row r="163" spans="1:3" x14ac:dyDescent="0.25">
      <c r="A163">
        <v>157</v>
      </c>
      <c r="B163">
        <f>COMP*BitRes/(BitRes-A163)</f>
        <v>1.81010101010101</v>
      </c>
      <c r="C163">
        <f t="shared" si="2"/>
        <v>13.861522424242423</v>
      </c>
    </row>
    <row r="164" spans="1:3" x14ac:dyDescent="0.25">
      <c r="A164">
        <v>158</v>
      </c>
      <c r="B164">
        <f>COMP*BitRes/(BitRes-A164)</f>
        <v>1.8285714285714285</v>
      </c>
      <c r="C164">
        <f t="shared" si="2"/>
        <v>14.00806857142857</v>
      </c>
    </row>
    <row r="165" spans="1:3" x14ac:dyDescent="0.25">
      <c r="A165">
        <v>159</v>
      </c>
      <c r="B165">
        <f>COMP*BitRes/(BitRes-A165)</f>
        <v>1.847422680412371</v>
      </c>
      <c r="C165">
        <f t="shared" si="2"/>
        <v>14.157636288659793</v>
      </c>
    </row>
    <row r="166" spans="1:3" x14ac:dyDescent="0.25">
      <c r="A166">
        <v>160</v>
      </c>
      <c r="B166">
        <f>COMP*BitRes/(BitRes-A166)</f>
        <v>1.8666666666666665</v>
      </c>
      <c r="C166">
        <f t="shared" si="2"/>
        <v>14.310319999999999</v>
      </c>
    </row>
    <row r="167" spans="1:3" x14ac:dyDescent="0.25">
      <c r="A167">
        <v>161</v>
      </c>
      <c r="B167">
        <f>COMP*BitRes/(BitRes-A167)</f>
        <v>1.8863157894736842</v>
      </c>
      <c r="C167">
        <f t="shared" si="2"/>
        <v>14.466218105263158</v>
      </c>
    </row>
    <row r="168" spans="1:3" x14ac:dyDescent="0.25">
      <c r="A168">
        <v>162</v>
      </c>
      <c r="B168">
        <f>COMP*BitRes/(BitRes-A168)</f>
        <v>1.9063829787234041</v>
      </c>
      <c r="C168">
        <f t="shared" si="2"/>
        <v>14.62543319148936</v>
      </c>
    </row>
    <row r="169" spans="1:3" x14ac:dyDescent="0.25">
      <c r="A169">
        <v>163</v>
      </c>
      <c r="B169">
        <f>COMP*BitRes/(BitRes-A169)</f>
        <v>1.9268817204301074</v>
      </c>
      <c r="C169">
        <f t="shared" si="2"/>
        <v>14.788072258064515</v>
      </c>
    </row>
    <row r="170" spans="1:3" x14ac:dyDescent="0.25">
      <c r="A170">
        <v>164</v>
      </c>
      <c r="B170">
        <f>COMP*BitRes/(BitRes-A170)</f>
        <v>1.9478260869565216</v>
      </c>
      <c r="C170">
        <f t="shared" si="2"/>
        <v>14.954246956521738</v>
      </c>
    </row>
    <row r="171" spans="1:3" x14ac:dyDescent="0.25">
      <c r="A171">
        <v>165</v>
      </c>
      <c r="B171">
        <f>COMP*BitRes/(BitRes-A171)</f>
        <v>1.9692307692307691</v>
      </c>
      <c r="C171">
        <f t="shared" si="2"/>
        <v>15.124073846153845</v>
      </c>
    </row>
    <row r="172" spans="1:3" x14ac:dyDescent="0.25">
      <c r="A172">
        <v>166</v>
      </c>
      <c r="B172">
        <f>COMP*BitRes/(BitRes-A172)</f>
        <v>1.9911111111111111</v>
      </c>
      <c r="C172">
        <f t="shared" si="2"/>
        <v>15.297674666666666</v>
      </c>
    </row>
    <row r="173" spans="1:3" x14ac:dyDescent="0.25">
      <c r="A173">
        <v>167</v>
      </c>
      <c r="B173">
        <f>COMP*BitRes/(BitRes-A173)</f>
        <v>2.0134831460674154</v>
      </c>
      <c r="C173">
        <f t="shared" si="2"/>
        <v>15.475176629213481</v>
      </c>
    </row>
    <row r="174" spans="1:3" x14ac:dyDescent="0.25">
      <c r="A174">
        <v>168</v>
      </c>
      <c r="B174">
        <f>COMP*BitRes/(BitRes-A174)</f>
        <v>2.0363636363636362</v>
      </c>
      <c r="C174">
        <f t="shared" si="2"/>
        <v>15.656712727272726</v>
      </c>
    </row>
    <row r="175" spans="1:3" x14ac:dyDescent="0.25">
      <c r="A175">
        <v>169</v>
      </c>
      <c r="B175">
        <f>COMP*BitRes/(BitRes-A175)</f>
        <v>2.0597701149425287</v>
      </c>
      <c r="C175">
        <f t="shared" si="2"/>
        <v>15.842422068965519</v>
      </c>
    </row>
    <row r="176" spans="1:3" x14ac:dyDescent="0.25">
      <c r="A176">
        <v>170</v>
      </c>
      <c r="B176">
        <f>COMP*BitRes/(BitRes-A176)</f>
        <v>2.0837209302325581</v>
      </c>
      <c r="C176">
        <f t="shared" si="2"/>
        <v>16.032450232558141</v>
      </c>
    </row>
    <row r="177" spans="1:3" x14ac:dyDescent="0.25">
      <c r="A177">
        <v>171</v>
      </c>
      <c r="B177">
        <f>COMP*BitRes/(BitRes-A177)</f>
        <v>2.1082352941176468</v>
      </c>
      <c r="C177">
        <f t="shared" si="2"/>
        <v>16.22694964705882</v>
      </c>
    </row>
    <row r="178" spans="1:3" x14ac:dyDescent="0.25">
      <c r="A178">
        <v>172</v>
      </c>
      <c r="B178">
        <f>COMP*BitRes/(BitRes-A178)</f>
        <v>2.1333333333333333</v>
      </c>
      <c r="C178">
        <f t="shared" si="2"/>
        <v>16.426079999999999</v>
      </c>
    </row>
    <row r="179" spans="1:3" x14ac:dyDescent="0.25">
      <c r="A179">
        <v>173</v>
      </c>
      <c r="B179">
        <f>COMP*BitRes/(BitRes-A179)</f>
        <v>2.1590361445783133</v>
      </c>
      <c r="C179">
        <f t="shared" si="2"/>
        <v>16.630008674698797</v>
      </c>
    </row>
    <row r="180" spans="1:3" x14ac:dyDescent="0.25">
      <c r="A180">
        <v>174</v>
      </c>
      <c r="B180">
        <f>COMP*BitRes/(BitRes-A180)</f>
        <v>2.1853658536585363</v>
      </c>
      <c r="C180">
        <f t="shared" si="2"/>
        <v>16.838911219512191</v>
      </c>
    </row>
    <row r="181" spans="1:3" x14ac:dyDescent="0.25">
      <c r="A181">
        <v>175</v>
      </c>
      <c r="B181">
        <f>COMP*BitRes/(BitRes-A181)</f>
        <v>2.2123456790123455</v>
      </c>
      <c r="C181">
        <f t="shared" si="2"/>
        <v>17.052971851851851</v>
      </c>
    </row>
    <row r="182" spans="1:3" x14ac:dyDescent="0.25">
      <c r="A182">
        <v>176</v>
      </c>
      <c r="B182">
        <f>COMP*BitRes/(BitRes-A182)</f>
        <v>2.2399999999999998</v>
      </c>
      <c r="C182">
        <f t="shared" si="2"/>
        <v>17.272383999999999</v>
      </c>
    </row>
    <row r="183" spans="1:3" x14ac:dyDescent="0.25">
      <c r="A183">
        <v>177</v>
      </c>
      <c r="B183">
        <f>COMP*BitRes/(BitRes-A183)</f>
        <v>2.2683544303797465</v>
      </c>
      <c r="C183">
        <f t="shared" si="2"/>
        <v>17.497350886075946</v>
      </c>
    </row>
    <row r="184" spans="1:3" x14ac:dyDescent="0.25">
      <c r="A184">
        <v>178</v>
      </c>
      <c r="B184">
        <f>COMP*BitRes/(BitRes-A184)</f>
        <v>2.2974358974358973</v>
      </c>
      <c r="C184">
        <f t="shared" si="2"/>
        <v>17.728086153846153</v>
      </c>
    </row>
    <row r="185" spans="1:3" x14ac:dyDescent="0.25">
      <c r="A185">
        <v>179</v>
      </c>
      <c r="B185">
        <f>COMP*BitRes/(BitRes-A185)</f>
        <v>2.3272727272727272</v>
      </c>
      <c r="C185">
        <f t="shared" si="2"/>
        <v>17.964814545454544</v>
      </c>
    </row>
    <row r="186" spans="1:3" x14ac:dyDescent="0.25">
      <c r="A186">
        <v>180</v>
      </c>
      <c r="B186">
        <f>COMP*BitRes/(BitRes-A186)</f>
        <v>2.357894736842105</v>
      </c>
      <c r="C186">
        <f t="shared" si="2"/>
        <v>18.207772631578944</v>
      </c>
    </row>
    <row r="187" spans="1:3" x14ac:dyDescent="0.25">
      <c r="A187">
        <v>181</v>
      </c>
      <c r="B187">
        <f>COMP*BitRes/(BitRes-A187)</f>
        <v>2.3893333333333331</v>
      </c>
      <c r="C187">
        <f t="shared" si="2"/>
        <v>18.457209599999999</v>
      </c>
    </row>
    <row r="188" spans="1:3" x14ac:dyDescent="0.25">
      <c r="A188">
        <v>182</v>
      </c>
      <c r="B188">
        <f>COMP*BitRes/(BitRes-A188)</f>
        <v>2.4216216216216213</v>
      </c>
      <c r="C188">
        <f t="shared" si="2"/>
        <v>18.713388108108106</v>
      </c>
    </row>
    <row r="189" spans="1:3" x14ac:dyDescent="0.25">
      <c r="A189">
        <v>183</v>
      </c>
      <c r="B189">
        <f>COMP*BitRes/(BitRes-A189)</f>
        <v>2.4547945205479449</v>
      </c>
      <c r="C189">
        <f t="shared" si="2"/>
        <v>18.976585205479449</v>
      </c>
    </row>
    <row r="190" spans="1:3" x14ac:dyDescent="0.25">
      <c r="A190">
        <v>184</v>
      </c>
      <c r="B190">
        <f>COMP*BitRes/(BitRes-A190)</f>
        <v>2.4888888888888889</v>
      </c>
      <c r="C190">
        <f t="shared" si="2"/>
        <v>19.247093333333332</v>
      </c>
    </row>
    <row r="191" spans="1:3" x14ac:dyDescent="0.25">
      <c r="A191">
        <v>185</v>
      </c>
      <c r="B191">
        <f>COMP*BitRes/(BitRes-A191)</f>
        <v>2.5239436619718307</v>
      </c>
      <c r="C191">
        <f t="shared" si="2"/>
        <v>19.525221408450701</v>
      </c>
    </row>
    <row r="192" spans="1:3" x14ac:dyDescent="0.25">
      <c r="A192">
        <v>186</v>
      </c>
      <c r="B192">
        <f>COMP*BitRes/(BitRes-A192)</f>
        <v>2.56</v>
      </c>
      <c r="C192">
        <f t="shared" si="2"/>
        <v>19.811295999999999</v>
      </c>
    </row>
    <row r="193" spans="1:3" x14ac:dyDescent="0.25">
      <c r="A193">
        <v>187</v>
      </c>
      <c r="B193">
        <f>COMP*BitRes/(BitRes-A193)</f>
        <v>2.5971014492753621</v>
      </c>
      <c r="C193">
        <f t="shared" si="2"/>
        <v>20.105662608695649</v>
      </c>
    </row>
    <row r="194" spans="1:3" x14ac:dyDescent="0.25">
      <c r="A194">
        <v>188</v>
      </c>
      <c r="B194">
        <f>COMP*BitRes/(BitRes-A194)</f>
        <v>2.6352941176470588</v>
      </c>
      <c r="C194">
        <f t="shared" si="2"/>
        <v>20.408687058823528</v>
      </c>
    </row>
    <row r="195" spans="1:3" x14ac:dyDescent="0.25">
      <c r="A195">
        <v>189</v>
      </c>
      <c r="B195">
        <f>COMP*BitRes/(BitRes-A195)</f>
        <v>2.6746268656716414</v>
      </c>
      <c r="C195">
        <f t="shared" si="2"/>
        <v>20.720757014925368</v>
      </c>
    </row>
    <row r="196" spans="1:3" x14ac:dyDescent="0.25">
      <c r="A196">
        <v>190</v>
      </c>
      <c r="B196">
        <f>COMP*BitRes/(BitRes-A196)</f>
        <v>2.7151515151515149</v>
      </c>
      <c r="C196">
        <f t="shared" si="2"/>
        <v>21.042283636363635</v>
      </c>
    </row>
    <row r="197" spans="1:3" x14ac:dyDescent="0.25">
      <c r="A197">
        <v>191</v>
      </c>
      <c r="B197">
        <f>COMP*BitRes/(BitRes-A197)</f>
        <v>2.7569230769230768</v>
      </c>
      <c r="C197">
        <f t="shared" si="2"/>
        <v>21.373703384615382</v>
      </c>
    </row>
    <row r="198" spans="1:3" x14ac:dyDescent="0.25">
      <c r="A198">
        <v>192</v>
      </c>
      <c r="B198">
        <f>COMP*BitRes/(BitRes-A198)</f>
        <v>2.8</v>
      </c>
      <c r="C198">
        <f t="shared" si="2"/>
        <v>21.715479999999999</v>
      </c>
    </row>
    <row r="199" spans="1:3" x14ac:dyDescent="0.25">
      <c r="A199">
        <v>193</v>
      </c>
      <c r="B199">
        <f>COMP*BitRes/(BitRes-A199)</f>
        <v>2.8444444444444441</v>
      </c>
      <c r="C199">
        <f t="shared" ref="C199:C246" si="3">B199*$B$3+$B$4</f>
        <v>22.068106666666665</v>
      </c>
    </row>
    <row r="200" spans="1:3" x14ac:dyDescent="0.25">
      <c r="A200">
        <v>194</v>
      </c>
      <c r="B200">
        <f>COMP*BitRes/(BitRes-A200)</f>
        <v>2.8903225806451611</v>
      </c>
      <c r="C200">
        <f t="shared" si="3"/>
        <v>22.432108387096772</v>
      </c>
    </row>
    <row r="201" spans="1:3" x14ac:dyDescent="0.25">
      <c r="A201">
        <v>195</v>
      </c>
      <c r="B201">
        <f>COMP*BitRes/(BitRes-A201)</f>
        <v>2.9377049180327868</v>
      </c>
      <c r="C201">
        <f t="shared" si="3"/>
        <v>22.808044590163934</v>
      </c>
    </row>
    <row r="202" spans="1:3" x14ac:dyDescent="0.25">
      <c r="A202">
        <v>196</v>
      </c>
      <c r="B202">
        <f>COMP*BitRes/(BitRes-A202)</f>
        <v>2.9866666666666664</v>
      </c>
      <c r="C202">
        <f t="shared" si="3"/>
        <v>23.196511999999998</v>
      </c>
    </row>
    <row r="203" spans="1:3" x14ac:dyDescent="0.25">
      <c r="A203">
        <v>197</v>
      </c>
      <c r="B203">
        <f>COMP*BitRes/(BitRes-A203)</f>
        <v>3.03728813559322</v>
      </c>
      <c r="C203">
        <f t="shared" si="3"/>
        <v>23.598147796610167</v>
      </c>
    </row>
    <row r="204" spans="1:3" x14ac:dyDescent="0.25">
      <c r="A204">
        <v>198</v>
      </c>
      <c r="B204">
        <f>COMP*BitRes/(BitRes-A204)</f>
        <v>3.0896551724137931</v>
      </c>
      <c r="C204">
        <f t="shared" si="3"/>
        <v>24.013633103448274</v>
      </c>
    </row>
    <row r="205" spans="1:3" x14ac:dyDescent="0.25">
      <c r="A205">
        <v>199</v>
      </c>
      <c r="B205">
        <f>COMP*BitRes/(BitRes-A205)</f>
        <v>3.143859649122807</v>
      </c>
      <c r="C205">
        <f t="shared" si="3"/>
        <v>24.443696842105265</v>
      </c>
    </row>
    <row r="206" spans="1:3" x14ac:dyDescent="0.25">
      <c r="A206">
        <v>200</v>
      </c>
      <c r="B206">
        <f>COMP*BitRes/(BitRes-A206)</f>
        <v>3.1999999999999997</v>
      </c>
      <c r="C206">
        <f t="shared" si="3"/>
        <v>24.889119999999998</v>
      </c>
    </row>
    <row r="207" spans="1:3" x14ac:dyDescent="0.25">
      <c r="A207">
        <v>201</v>
      </c>
      <c r="B207">
        <f>COMP*BitRes/(BitRes-A207)</f>
        <v>3.2581818181818178</v>
      </c>
      <c r="C207">
        <f t="shared" si="3"/>
        <v>25.350740363636362</v>
      </c>
    </row>
    <row r="208" spans="1:3" x14ac:dyDescent="0.25">
      <c r="A208">
        <v>202</v>
      </c>
      <c r="B208">
        <f>COMP*BitRes/(BitRes-A208)</f>
        <v>3.3185185185185184</v>
      </c>
      <c r="C208">
        <f t="shared" si="3"/>
        <v>25.829457777777776</v>
      </c>
    </row>
    <row r="209" spans="1:3" x14ac:dyDescent="0.25">
      <c r="A209">
        <v>203</v>
      </c>
      <c r="B209">
        <f>COMP*BitRes/(BitRes-A209)</f>
        <v>3.3811320754716978</v>
      </c>
      <c r="C209">
        <f t="shared" si="3"/>
        <v>26.326239999999999</v>
      </c>
    </row>
    <row r="210" spans="1:3" x14ac:dyDescent="0.25">
      <c r="A210">
        <v>204</v>
      </c>
      <c r="B210">
        <f>COMP*BitRes/(BitRes-A210)</f>
        <v>3.4461538461538459</v>
      </c>
      <c r="C210">
        <f t="shared" si="3"/>
        <v>26.842129230769228</v>
      </c>
    </row>
    <row r="211" spans="1:3" x14ac:dyDescent="0.25">
      <c r="A211">
        <v>205</v>
      </c>
      <c r="B211">
        <f>COMP*BitRes/(BitRes-A211)</f>
        <v>3.5137254901960784</v>
      </c>
      <c r="C211">
        <f t="shared" si="3"/>
        <v>27.378249411764706</v>
      </c>
    </row>
    <row r="212" spans="1:3" x14ac:dyDescent="0.25">
      <c r="A212">
        <v>206</v>
      </c>
      <c r="B212">
        <f>COMP*BitRes/(BitRes-A212)</f>
        <v>3.5839999999999996</v>
      </c>
      <c r="C212">
        <f t="shared" si="3"/>
        <v>27.935814399999998</v>
      </c>
    </row>
    <row r="213" spans="1:3" x14ac:dyDescent="0.25">
      <c r="A213">
        <v>207</v>
      </c>
      <c r="B213">
        <f>COMP*BitRes/(BitRes-A213)</f>
        <v>3.657142857142857</v>
      </c>
      <c r="C213">
        <f t="shared" si="3"/>
        <v>28.51613714285714</v>
      </c>
    </row>
    <row r="214" spans="1:3" x14ac:dyDescent="0.25">
      <c r="A214">
        <v>208</v>
      </c>
      <c r="B214">
        <f>COMP*BitRes/(BitRes-A214)</f>
        <v>3.7333333333333329</v>
      </c>
      <c r="C214">
        <f t="shared" si="3"/>
        <v>29.120639999999998</v>
      </c>
    </row>
    <row r="215" spans="1:3" x14ac:dyDescent="0.25">
      <c r="A215">
        <v>209</v>
      </c>
      <c r="B215">
        <f>COMP*BitRes/(BitRes-A215)</f>
        <v>3.8127659574468082</v>
      </c>
      <c r="C215">
        <f t="shared" si="3"/>
        <v>29.750866382978721</v>
      </c>
    </row>
    <row r="216" spans="1:3" x14ac:dyDescent="0.25">
      <c r="A216">
        <v>210</v>
      </c>
      <c r="B216">
        <f>COMP*BitRes/(BitRes-A216)</f>
        <v>3.8956521739130432</v>
      </c>
      <c r="C216">
        <f t="shared" si="3"/>
        <v>30.408493913043475</v>
      </c>
    </row>
    <row r="217" spans="1:3" x14ac:dyDescent="0.25">
      <c r="A217">
        <v>211</v>
      </c>
      <c r="B217">
        <f>COMP*BitRes/(BitRes-A217)</f>
        <v>3.9822222222222221</v>
      </c>
      <c r="C217">
        <f t="shared" si="3"/>
        <v>31.095349333333331</v>
      </c>
    </row>
    <row r="218" spans="1:3" x14ac:dyDescent="0.25">
      <c r="A218">
        <v>212</v>
      </c>
      <c r="B218">
        <f>COMP*BitRes/(BitRes-A218)</f>
        <v>4.0727272727272723</v>
      </c>
      <c r="C218">
        <f t="shared" si="3"/>
        <v>31.813425454545452</v>
      </c>
    </row>
    <row r="219" spans="1:3" x14ac:dyDescent="0.25">
      <c r="A219">
        <v>213</v>
      </c>
      <c r="B219">
        <f>COMP*BitRes/(BitRes-A219)</f>
        <v>4.1674418604651162</v>
      </c>
      <c r="C219">
        <f t="shared" si="3"/>
        <v>32.564900465116281</v>
      </c>
    </row>
    <row r="220" spans="1:3" x14ac:dyDescent="0.25">
      <c r="A220">
        <v>214</v>
      </c>
      <c r="B220">
        <f>COMP*BitRes/(BitRes-A220)</f>
        <v>4.2666666666666666</v>
      </c>
      <c r="C220">
        <f t="shared" si="3"/>
        <v>33.352159999999998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BABC-79C5-4467-B0D6-D9F75005D9D0}">
  <dimension ref="A1"/>
  <sheetViews>
    <sheetView tabSelected="1" workbookViewId="0">
      <selection activeCell="K14" sqref="K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DigiPot</vt:lpstr>
      <vt:lpstr>Sheet2</vt:lpstr>
      <vt:lpstr>BitRes</vt:lpstr>
      <vt:lpstr>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Farrell, Conor</dc:creator>
  <cp:lastModifiedBy>Farrell, Conor</cp:lastModifiedBy>
  <dcterms:created xsi:type="dcterms:W3CDTF">2026-01-20T11:56:55Z</dcterms:created>
  <dcterms:modified xsi:type="dcterms:W3CDTF">2026-01-21T00:23:13Z</dcterms:modified>
</cp:coreProperties>
</file>