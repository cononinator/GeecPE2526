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Documents\College\Masters\Thesis\GeecPE2526\Investigations\"/>
    </mc:Choice>
  </mc:AlternateContent>
  <xr:revisionPtr revIDLastSave="0" documentId="13_ncr:2001_{5701E435-9CCB-4D5D-97F2-A6BAB5B44D94}" xr6:coauthVersionLast="47" xr6:coauthVersionMax="47" xr10:uidLastSave="{00000000-0000-0000-0000-000000000000}"/>
  <bookViews>
    <workbookView xWindow="-120" yWindow="-120" windowWidth="29040" windowHeight="15720" xr2:uid="{DD2C5146-D620-44A2-ADAA-3C1546CCD2D9}"/>
  </bookViews>
  <sheets>
    <sheet name="Sheet1" sheetId="1" r:id="rId1"/>
  </sheets>
  <definedNames>
    <definedName name="Frequency">Sheet1!$B$1</definedName>
    <definedName name="Inductance">Sheet1!$B$2</definedName>
    <definedName name="Irms">Sheet1!$B$4</definedName>
    <definedName name="V_ripple">Sheet1!$B$5</definedName>
    <definedName name="Vin">Sheet1!$B$3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B8" i="1"/>
  <c r="C8" i="1" s="1"/>
  <c r="D8" i="1" s="1"/>
  <c r="B9" i="1"/>
  <c r="C9" i="1" s="1"/>
  <c r="D9" i="1" s="1"/>
  <c r="B10" i="1"/>
  <c r="C10" i="1" s="1"/>
  <c r="D10" i="1" s="1"/>
  <c r="B11" i="1"/>
  <c r="B12" i="1"/>
  <c r="B13" i="1"/>
  <c r="B14" i="1"/>
  <c r="B15" i="1"/>
  <c r="B16" i="1"/>
  <c r="B17" i="1"/>
  <c r="B18" i="1"/>
  <c r="C18" i="1" s="1"/>
  <c r="D18" i="1" s="1"/>
  <c r="B19" i="1"/>
  <c r="C19" i="1" s="1"/>
  <c r="D19" i="1" s="1"/>
  <c r="B20" i="1"/>
  <c r="C20" i="1" s="1"/>
  <c r="D20" i="1" s="1"/>
  <c r="B21" i="1"/>
  <c r="C21" i="1" s="1"/>
  <c r="D21" i="1" s="1"/>
  <c r="B22" i="1"/>
  <c r="C22" i="1" s="1"/>
  <c r="D22" i="1" s="1"/>
  <c r="B23" i="1"/>
  <c r="B24" i="1"/>
  <c r="B25" i="1"/>
  <c r="B26" i="1"/>
  <c r="B27" i="1"/>
  <c r="B28" i="1"/>
  <c r="B29" i="1"/>
  <c r="B30" i="1"/>
  <c r="C30" i="1" s="1"/>
  <c r="D30" i="1" s="1"/>
  <c r="B31" i="1"/>
  <c r="C31" i="1" s="1"/>
  <c r="D31" i="1" s="1"/>
  <c r="B32" i="1"/>
  <c r="C32" i="1" s="1"/>
  <c r="D32" i="1" s="1"/>
  <c r="B33" i="1"/>
  <c r="C33" i="1" s="1"/>
  <c r="D33" i="1" s="1"/>
  <c r="B34" i="1"/>
  <c r="C34" i="1" s="1"/>
  <c r="D34" i="1" s="1"/>
  <c r="B35" i="1"/>
  <c r="B36" i="1"/>
  <c r="B37" i="1"/>
  <c r="B38" i="1"/>
  <c r="B39" i="1"/>
  <c r="B40" i="1"/>
  <c r="B41" i="1"/>
  <c r="B42" i="1"/>
  <c r="C42" i="1" s="1"/>
  <c r="D42" i="1" s="1"/>
  <c r="B43" i="1"/>
  <c r="C43" i="1" s="1"/>
  <c r="D43" i="1" s="1"/>
  <c r="B44" i="1"/>
  <c r="C44" i="1" s="1"/>
  <c r="D44" i="1" s="1"/>
  <c r="B45" i="1"/>
  <c r="C45" i="1" s="1"/>
  <c r="D45" i="1" s="1"/>
  <c r="B46" i="1"/>
  <c r="C46" i="1" s="1"/>
  <c r="D46" i="1" s="1"/>
  <c r="B47" i="1"/>
  <c r="B48" i="1"/>
  <c r="B49" i="1"/>
  <c r="B50" i="1"/>
  <c r="B51" i="1"/>
  <c r="B52" i="1"/>
  <c r="B53" i="1"/>
  <c r="B54" i="1"/>
  <c r="C54" i="1" s="1"/>
  <c r="D54" i="1" s="1"/>
  <c r="B55" i="1"/>
  <c r="C55" i="1" s="1"/>
  <c r="D55" i="1" s="1"/>
  <c r="B56" i="1"/>
  <c r="C56" i="1" s="1"/>
  <c r="D56" i="1" s="1"/>
  <c r="B57" i="1"/>
  <c r="C57" i="1" s="1"/>
  <c r="D57" i="1" s="1"/>
  <c r="B58" i="1"/>
  <c r="C58" i="1" s="1"/>
  <c r="D58" i="1" s="1"/>
  <c r="B59" i="1"/>
  <c r="B60" i="1"/>
  <c r="B61" i="1"/>
  <c r="B62" i="1"/>
  <c r="B63" i="1"/>
  <c r="B64" i="1"/>
  <c r="B65" i="1"/>
  <c r="B66" i="1"/>
  <c r="C66" i="1" s="1"/>
  <c r="D66" i="1" s="1"/>
  <c r="B67" i="1"/>
  <c r="C67" i="1" s="1"/>
  <c r="D67" i="1" s="1"/>
  <c r="B68" i="1"/>
  <c r="C68" i="1" s="1"/>
  <c r="D68" i="1" s="1"/>
  <c r="B69" i="1"/>
  <c r="C69" i="1" s="1"/>
  <c r="D69" i="1" s="1"/>
  <c r="B70" i="1"/>
  <c r="C70" i="1" s="1"/>
  <c r="D70" i="1" s="1"/>
  <c r="B71" i="1"/>
  <c r="B72" i="1"/>
  <c r="B73" i="1"/>
  <c r="B74" i="1"/>
  <c r="B75" i="1"/>
  <c r="B76" i="1"/>
  <c r="B77" i="1"/>
  <c r="B78" i="1"/>
  <c r="C78" i="1" s="1"/>
  <c r="D78" i="1" s="1"/>
  <c r="B79" i="1"/>
  <c r="C79" i="1" s="1"/>
  <c r="D79" i="1" s="1"/>
  <c r="B80" i="1"/>
  <c r="C80" i="1" s="1"/>
  <c r="D80" i="1" s="1"/>
  <c r="B81" i="1"/>
  <c r="C81" i="1" s="1"/>
  <c r="D81" i="1" s="1"/>
  <c r="B82" i="1"/>
  <c r="C82" i="1" s="1"/>
  <c r="D82" i="1" s="1"/>
  <c r="B83" i="1"/>
  <c r="B84" i="1"/>
  <c r="B85" i="1"/>
  <c r="C85" i="1" s="1"/>
  <c r="D85" i="1" s="1"/>
  <c r="B86" i="1"/>
  <c r="B87" i="1"/>
  <c r="B88" i="1"/>
  <c r="B89" i="1"/>
  <c r="B90" i="1"/>
  <c r="C90" i="1" s="1"/>
  <c r="D90" i="1" s="1"/>
  <c r="B91" i="1"/>
  <c r="C91" i="1" s="1"/>
  <c r="D91" i="1" s="1"/>
  <c r="B92" i="1"/>
  <c r="C92" i="1" s="1"/>
  <c r="D92" i="1" s="1"/>
  <c r="B93" i="1"/>
  <c r="C93" i="1" s="1"/>
  <c r="D93" i="1" s="1"/>
  <c r="B94" i="1"/>
  <c r="C94" i="1" s="1"/>
  <c r="D94" i="1" s="1"/>
  <c r="B95" i="1"/>
  <c r="B96" i="1"/>
  <c r="B97" i="1"/>
  <c r="C97" i="1" s="1"/>
  <c r="E97" i="1" s="1"/>
  <c r="B98" i="1"/>
  <c r="B99" i="1"/>
  <c r="B100" i="1"/>
  <c r="B101" i="1"/>
  <c r="B102" i="1"/>
  <c r="C102" i="1" s="1"/>
  <c r="D102" i="1" s="1"/>
  <c r="B103" i="1"/>
  <c r="C103" i="1" s="1"/>
  <c r="D103" i="1" s="1"/>
  <c r="B104" i="1"/>
  <c r="C104" i="1" s="1"/>
  <c r="D104" i="1" s="1"/>
  <c r="B105" i="1"/>
  <c r="C105" i="1" s="1"/>
  <c r="D105" i="1" s="1"/>
  <c r="B106" i="1"/>
  <c r="C106" i="1" s="1"/>
  <c r="D106" i="1" s="1"/>
  <c r="B107" i="1"/>
  <c r="B108" i="1"/>
  <c r="B109" i="1"/>
  <c r="C109" i="1" s="1"/>
  <c r="D109" i="1" s="1"/>
  <c r="B110" i="1"/>
  <c r="B111" i="1"/>
  <c r="B112" i="1"/>
  <c r="B113" i="1"/>
  <c r="B114" i="1"/>
  <c r="C114" i="1" s="1"/>
  <c r="D114" i="1" s="1"/>
  <c r="B115" i="1"/>
  <c r="C115" i="1" s="1"/>
  <c r="D115" i="1" s="1"/>
  <c r="B116" i="1"/>
  <c r="C116" i="1" s="1"/>
  <c r="D116" i="1" s="1"/>
  <c r="B117" i="1"/>
  <c r="C117" i="1" s="1"/>
  <c r="D117" i="1" s="1"/>
  <c r="B118" i="1"/>
  <c r="C118" i="1" s="1"/>
  <c r="D118" i="1" s="1"/>
  <c r="B119" i="1"/>
  <c r="B120" i="1"/>
  <c r="B121" i="1"/>
  <c r="C121" i="1" s="1"/>
  <c r="D121" i="1" s="1"/>
  <c r="B122" i="1"/>
  <c r="B123" i="1"/>
  <c r="B124" i="1"/>
  <c r="B125" i="1"/>
  <c r="B126" i="1"/>
  <c r="C126" i="1" s="1"/>
  <c r="D126" i="1" s="1"/>
  <c r="B127" i="1"/>
  <c r="C127" i="1" s="1"/>
  <c r="D127" i="1" s="1"/>
  <c r="B128" i="1"/>
  <c r="C128" i="1" s="1"/>
  <c r="D128" i="1" s="1"/>
  <c r="B129" i="1"/>
  <c r="C129" i="1" s="1"/>
  <c r="D129" i="1" s="1"/>
  <c r="B130" i="1"/>
  <c r="C130" i="1" s="1"/>
  <c r="D130" i="1" s="1"/>
  <c r="B131" i="1"/>
  <c r="B132" i="1"/>
  <c r="B133" i="1"/>
  <c r="C133" i="1" s="1"/>
  <c r="D133" i="1" s="1"/>
  <c r="B134" i="1"/>
  <c r="B135" i="1"/>
  <c r="B136" i="1"/>
  <c r="B137" i="1"/>
  <c r="B138" i="1"/>
  <c r="C138" i="1" s="1"/>
  <c r="D138" i="1" s="1"/>
  <c r="B139" i="1"/>
  <c r="C139" i="1" s="1"/>
  <c r="D139" i="1" s="1"/>
  <c r="B140" i="1"/>
  <c r="C140" i="1" s="1"/>
  <c r="D140" i="1" s="1"/>
  <c r="B141" i="1"/>
  <c r="C141" i="1" s="1"/>
  <c r="D141" i="1" s="1"/>
  <c r="B142" i="1"/>
  <c r="C142" i="1" s="1"/>
  <c r="D142" i="1" s="1"/>
  <c r="B143" i="1"/>
  <c r="B144" i="1"/>
  <c r="B145" i="1"/>
  <c r="C145" i="1" s="1"/>
  <c r="E145" i="1" s="1"/>
  <c r="B146" i="1"/>
  <c r="B147" i="1"/>
  <c r="B148" i="1"/>
  <c r="B149" i="1"/>
  <c r="B150" i="1"/>
  <c r="C150" i="1" s="1"/>
  <c r="D150" i="1" s="1"/>
  <c r="B151" i="1"/>
  <c r="C151" i="1" s="1"/>
  <c r="D151" i="1" s="1"/>
  <c r="B152" i="1"/>
  <c r="C152" i="1" s="1"/>
  <c r="D152" i="1" s="1"/>
  <c r="B153" i="1"/>
  <c r="C153" i="1" s="1"/>
  <c r="D153" i="1" s="1"/>
  <c r="B154" i="1"/>
  <c r="C154" i="1" s="1"/>
  <c r="D154" i="1" s="1"/>
  <c r="B155" i="1"/>
  <c r="B156" i="1"/>
  <c r="B157" i="1"/>
  <c r="C157" i="1" s="1"/>
  <c r="E157" i="1" s="1"/>
  <c r="B158" i="1"/>
  <c r="B159" i="1"/>
  <c r="B160" i="1"/>
  <c r="B161" i="1"/>
  <c r="B162" i="1"/>
  <c r="C162" i="1" s="1"/>
  <c r="D162" i="1" s="1"/>
  <c r="B163" i="1"/>
  <c r="C163" i="1" s="1"/>
  <c r="D163" i="1" s="1"/>
  <c r="B164" i="1"/>
  <c r="C164" i="1" s="1"/>
  <c r="D164" i="1" s="1"/>
  <c r="B165" i="1"/>
  <c r="C165" i="1" s="1"/>
  <c r="D165" i="1" s="1"/>
  <c r="B166" i="1"/>
  <c r="C166" i="1" s="1"/>
  <c r="D166" i="1" s="1"/>
  <c r="B167" i="1"/>
  <c r="B168" i="1"/>
  <c r="B169" i="1"/>
  <c r="C169" i="1" s="1"/>
  <c r="D169" i="1" s="1"/>
  <c r="B170" i="1"/>
  <c r="B171" i="1"/>
  <c r="B172" i="1"/>
  <c r="B173" i="1"/>
  <c r="B174" i="1"/>
  <c r="C174" i="1" s="1"/>
  <c r="D174" i="1" s="1"/>
  <c r="B175" i="1"/>
  <c r="C175" i="1" s="1"/>
  <c r="D175" i="1" s="1"/>
  <c r="B176" i="1"/>
  <c r="C176" i="1" s="1"/>
  <c r="D176" i="1" s="1"/>
  <c r="B177" i="1"/>
  <c r="C177" i="1" s="1"/>
  <c r="D177" i="1" s="1"/>
  <c r="B178" i="1"/>
  <c r="C178" i="1" s="1"/>
  <c r="D178" i="1" s="1"/>
  <c r="B179" i="1"/>
  <c r="B180" i="1"/>
  <c r="B181" i="1"/>
  <c r="C181" i="1" s="1"/>
  <c r="D181" i="1" s="1"/>
  <c r="B182" i="1"/>
  <c r="B183" i="1"/>
  <c r="B184" i="1"/>
  <c r="B185" i="1"/>
  <c r="B186" i="1"/>
  <c r="C186" i="1" s="1"/>
  <c r="D186" i="1" s="1"/>
  <c r="B187" i="1"/>
  <c r="C187" i="1" s="1"/>
  <c r="D187" i="1" s="1"/>
  <c r="B188" i="1"/>
  <c r="C188" i="1" s="1"/>
  <c r="D188" i="1" s="1"/>
  <c r="B189" i="1"/>
  <c r="C189" i="1" s="1"/>
  <c r="D189" i="1" s="1"/>
  <c r="B190" i="1"/>
  <c r="C190" i="1" s="1"/>
  <c r="D190" i="1" s="1"/>
  <c r="B191" i="1"/>
  <c r="B192" i="1"/>
  <c r="B193" i="1"/>
  <c r="C193" i="1" s="1"/>
  <c r="D193" i="1" s="1"/>
  <c r="B194" i="1"/>
  <c r="B195" i="1"/>
  <c r="B196" i="1"/>
  <c r="B197" i="1"/>
  <c r="C197" i="1" s="1"/>
  <c r="D197" i="1" s="1"/>
  <c r="B198" i="1"/>
  <c r="C198" i="1" s="1"/>
  <c r="D198" i="1" s="1"/>
  <c r="B199" i="1"/>
  <c r="C199" i="1" s="1"/>
  <c r="D199" i="1" s="1"/>
  <c r="B200" i="1"/>
  <c r="C200" i="1" s="1"/>
  <c r="D200" i="1" s="1"/>
  <c r="B201" i="1"/>
  <c r="C201" i="1" s="1"/>
  <c r="D201" i="1" s="1"/>
  <c r="B202" i="1"/>
  <c r="C202" i="1" s="1"/>
  <c r="D202" i="1" s="1"/>
  <c r="B203" i="1"/>
  <c r="B204" i="1"/>
  <c r="B205" i="1"/>
  <c r="C205" i="1" s="1"/>
  <c r="D205" i="1" s="1"/>
  <c r="B206" i="1"/>
  <c r="B7" i="1"/>
  <c r="C161" i="1" l="1"/>
  <c r="E161" i="1" s="1"/>
  <c r="C125" i="1"/>
  <c r="D125" i="1" s="1"/>
  <c r="F125" i="1" s="1"/>
  <c r="C89" i="1"/>
  <c r="C65" i="1"/>
  <c r="D65" i="1" s="1"/>
  <c r="F65" i="1" s="1"/>
  <c r="C41" i="1"/>
  <c r="D41" i="1" s="1"/>
  <c r="F41" i="1" s="1"/>
  <c r="C17" i="1"/>
  <c r="E17" i="1" s="1"/>
  <c r="C184" i="1"/>
  <c r="D184" i="1" s="1"/>
  <c r="F184" i="1" s="1"/>
  <c r="C148" i="1"/>
  <c r="D148" i="1" s="1"/>
  <c r="C124" i="1"/>
  <c r="D124" i="1" s="1"/>
  <c r="F124" i="1" s="1"/>
  <c r="C100" i="1"/>
  <c r="D100" i="1" s="1"/>
  <c r="F100" i="1" s="1"/>
  <c r="C64" i="1"/>
  <c r="D64" i="1" s="1"/>
  <c r="F64" i="1" s="1"/>
  <c r="C28" i="1"/>
  <c r="D28" i="1" s="1"/>
  <c r="F28" i="1" s="1"/>
  <c r="C173" i="1"/>
  <c r="D173" i="1" s="1"/>
  <c r="F173" i="1" s="1"/>
  <c r="C137" i="1"/>
  <c r="C77" i="1"/>
  <c r="D77" i="1" s="1"/>
  <c r="C53" i="1"/>
  <c r="D53" i="1" s="1"/>
  <c r="F53" i="1" s="1"/>
  <c r="C29" i="1"/>
  <c r="D29" i="1" s="1"/>
  <c r="F29" i="1" s="1"/>
  <c r="C196" i="1"/>
  <c r="D196" i="1" s="1"/>
  <c r="F196" i="1" s="1"/>
  <c r="C172" i="1"/>
  <c r="D172" i="1" s="1"/>
  <c r="F172" i="1" s="1"/>
  <c r="C160" i="1"/>
  <c r="E160" i="1" s="1"/>
  <c r="C136" i="1"/>
  <c r="D136" i="1" s="1"/>
  <c r="F136" i="1" s="1"/>
  <c r="C112" i="1"/>
  <c r="D112" i="1" s="1"/>
  <c r="F112" i="1" s="1"/>
  <c r="C88" i="1"/>
  <c r="E88" i="1" s="1"/>
  <c r="C76" i="1"/>
  <c r="D76" i="1" s="1"/>
  <c r="F76" i="1" s="1"/>
  <c r="C52" i="1"/>
  <c r="D52" i="1" s="1"/>
  <c r="C40" i="1"/>
  <c r="D40" i="1" s="1"/>
  <c r="F40" i="1" s="1"/>
  <c r="C16" i="1"/>
  <c r="C185" i="1"/>
  <c r="D185" i="1" s="1"/>
  <c r="F185" i="1" s="1"/>
  <c r="C149" i="1"/>
  <c r="D149" i="1" s="1"/>
  <c r="F149" i="1" s="1"/>
  <c r="C101" i="1"/>
  <c r="D101" i="1" s="1"/>
  <c r="F101" i="1" s="1"/>
  <c r="C206" i="1"/>
  <c r="D206" i="1" s="1"/>
  <c r="F206" i="1" s="1"/>
  <c r="C194" i="1"/>
  <c r="D194" i="1" s="1"/>
  <c r="F194" i="1" s="1"/>
  <c r="C182" i="1"/>
  <c r="D182" i="1" s="1"/>
  <c r="F182" i="1" s="1"/>
  <c r="C170" i="1"/>
  <c r="D170" i="1" s="1"/>
  <c r="F170" i="1" s="1"/>
  <c r="C158" i="1"/>
  <c r="E158" i="1" s="1"/>
  <c r="C146" i="1"/>
  <c r="D146" i="1" s="1"/>
  <c r="F146" i="1" s="1"/>
  <c r="C134" i="1"/>
  <c r="D134" i="1" s="1"/>
  <c r="F134" i="1" s="1"/>
  <c r="C122" i="1"/>
  <c r="D122" i="1" s="1"/>
  <c r="C110" i="1"/>
  <c r="C98" i="1"/>
  <c r="D98" i="1" s="1"/>
  <c r="F98" i="1" s="1"/>
  <c r="C86" i="1"/>
  <c r="D86" i="1" s="1"/>
  <c r="F86" i="1" s="1"/>
  <c r="C74" i="1"/>
  <c r="D74" i="1" s="1"/>
  <c r="F74" i="1" s="1"/>
  <c r="C62" i="1"/>
  <c r="D62" i="1" s="1"/>
  <c r="F62" i="1" s="1"/>
  <c r="C50" i="1"/>
  <c r="D50" i="1" s="1"/>
  <c r="F50" i="1" s="1"/>
  <c r="C26" i="1"/>
  <c r="D26" i="1" s="1"/>
  <c r="F26" i="1" s="1"/>
  <c r="C14" i="1"/>
  <c r="D14" i="1" s="1"/>
  <c r="F14" i="1" s="1"/>
  <c r="C13" i="1"/>
  <c r="D13" i="1" s="1"/>
  <c r="F13" i="1" s="1"/>
  <c r="C73" i="1"/>
  <c r="E73" i="1" s="1"/>
  <c r="C49" i="1"/>
  <c r="D49" i="1" s="1"/>
  <c r="C25" i="1"/>
  <c r="E25" i="1" s="1"/>
  <c r="C204" i="1"/>
  <c r="D204" i="1" s="1"/>
  <c r="C192" i="1"/>
  <c r="D192" i="1" s="1"/>
  <c r="C180" i="1"/>
  <c r="D180" i="1" s="1"/>
  <c r="F180" i="1" s="1"/>
  <c r="C168" i="1"/>
  <c r="D168" i="1" s="1"/>
  <c r="F168" i="1" s="1"/>
  <c r="C156" i="1"/>
  <c r="D156" i="1" s="1"/>
  <c r="F156" i="1" s="1"/>
  <c r="C144" i="1"/>
  <c r="E144" i="1" s="1"/>
  <c r="C132" i="1"/>
  <c r="D132" i="1" s="1"/>
  <c r="F132" i="1" s="1"/>
  <c r="C120" i="1"/>
  <c r="D120" i="1" s="1"/>
  <c r="F120" i="1" s="1"/>
  <c r="C108" i="1"/>
  <c r="D108" i="1" s="1"/>
  <c r="F108" i="1" s="1"/>
  <c r="C96" i="1"/>
  <c r="E96" i="1" s="1"/>
  <c r="C84" i="1"/>
  <c r="D84" i="1" s="1"/>
  <c r="C72" i="1"/>
  <c r="D72" i="1" s="1"/>
  <c r="C60" i="1"/>
  <c r="D60" i="1" s="1"/>
  <c r="C48" i="1"/>
  <c r="D48" i="1" s="1"/>
  <c r="F48" i="1" s="1"/>
  <c r="C36" i="1"/>
  <c r="D36" i="1" s="1"/>
  <c r="F36" i="1" s="1"/>
  <c r="C24" i="1"/>
  <c r="D24" i="1" s="1"/>
  <c r="F24" i="1" s="1"/>
  <c r="C12" i="1"/>
  <c r="D12" i="1" s="1"/>
  <c r="F12" i="1" s="1"/>
  <c r="C61" i="1"/>
  <c r="E61" i="1" s="1"/>
  <c r="C37" i="1"/>
  <c r="E37" i="1" s="1"/>
  <c r="C203" i="1"/>
  <c r="D203" i="1" s="1"/>
  <c r="F203" i="1" s="1"/>
  <c r="C191" i="1"/>
  <c r="D191" i="1" s="1"/>
  <c r="F191" i="1" s="1"/>
  <c r="C179" i="1"/>
  <c r="D179" i="1" s="1"/>
  <c r="F179" i="1" s="1"/>
  <c r="C167" i="1"/>
  <c r="D167" i="1" s="1"/>
  <c r="F167" i="1" s="1"/>
  <c r="C155" i="1"/>
  <c r="D155" i="1" s="1"/>
  <c r="C143" i="1"/>
  <c r="D143" i="1" s="1"/>
  <c r="C131" i="1"/>
  <c r="D131" i="1" s="1"/>
  <c r="F131" i="1" s="1"/>
  <c r="C119" i="1"/>
  <c r="D119" i="1" s="1"/>
  <c r="F119" i="1" s="1"/>
  <c r="C107" i="1"/>
  <c r="D107" i="1" s="1"/>
  <c r="F107" i="1" s="1"/>
  <c r="C95" i="1"/>
  <c r="D95" i="1" s="1"/>
  <c r="F95" i="1" s="1"/>
  <c r="C83" i="1"/>
  <c r="D83" i="1" s="1"/>
  <c r="F83" i="1" s="1"/>
  <c r="C71" i="1"/>
  <c r="D71" i="1" s="1"/>
  <c r="F71" i="1" s="1"/>
  <c r="C59" i="1"/>
  <c r="D59" i="1" s="1"/>
  <c r="F59" i="1" s="1"/>
  <c r="C47" i="1"/>
  <c r="D47" i="1" s="1"/>
  <c r="F47" i="1" s="1"/>
  <c r="C35" i="1"/>
  <c r="D35" i="1" s="1"/>
  <c r="F35" i="1" s="1"/>
  <c r="C23" i="1"/>
  <c r="D23" i="1" s="1"/>
  <c r="F23" i="1" s="1"/>
  <c r="C11" i="1"/>
  <c r="D11" i="1" s="1"/>
  <c r="F11" i="1" s="1"/>
  <c r="C7" i="1"/>
  <c r="D7" i="1" s="1"/>
  <c r="C195" i="1"/>
  <c r="D195" i="1" s="1"/>
  <c r="F195" i="1" s="1"/>
  <c r="C183" i="1"/>
  <c r="D183" i="1" s="1"/>
  <c r="F183" i="1" s="1"/>
  <c r="C171" i="1"/>
  <c r="D171" i="1" s="1"/>
  <c r="F171" i="1" s="1"/>
  <c r="C159" i="1"/>
  <c r="E159" i="1" s="1"/>
  <c r="C147" i="1"/>
  <c r="D147" i="1" s="1"/>
  <c r="F147" i="1" s="1"/>
  <c r="C123" i="1"/>
  <c r="D123" i="1" s="1"/>
  <c r="F123" i="1" s="1"/>
  <c r="C111" i="1"/>
  <c r="E111" i="1" s="1"/>
  <c r="C99" i="1"/>
  <c r="D99" i="1" s="1"/>
  <c r="F99" i="1" s="1"/>
  <c r="C87" i="1"/>
  <c r="D87" i="1" s="1"/>
  <c r="F87" i="1" s="1"/>
  <c r="C75" i="1"/>
  <c r="D75" i="1" s="1"/>
  <c r="F75" i="1" s="1"/>
  <c r="C63" i="1"/>
  <c r="D63" i="1" s="1"/>
  <c r="F63" i="1" s="1"/>
  <c r="C51" i="1"/>
  <c r="D51" i="1" s="1"/>
  <c r="F51" i="1" s="1"/>
  <c r="C39" i="1"/>
  <c r="D39" i="1" s="1"/>
  <c r="F39" i="1" s="1"/>
  <c r="C27" i="1"/>
  <c r="D27" i="1" s="1"/>
  <c r="F27" i="1" s="1"/>
  <c r="C15" i="1"/>
  <c r="D15" i="1" s="1"/>
  <c r="F15" i="1" s="1"/>
  <c r="D97" i="1"/>
  <c r="F97" i="1" s="1"/>
  <c r="E30" i="1"/>
  <c r="E29" i="1"/>
  <c r="F102" i="1"/>
  <c r="E18" i="1"/>
  <c r="F90" i="1"/>
  <c r="E197" i="1"/>
  <c r="F78" i="1"/>
  <c r="F77" i="1"/>
  <c r="F150" i="1"/>
  <c r="E114" i="1"/>
  <c r="F30" i="1"/>
  <c r="F42" i="1"/>
  <c r="E54" i="1"/>
  <c r="F148" i="1"/>
  <c r="F198" i="1"/>
  <c r="E126" i="1"/>
  <c r="F138" i="1"/>
  <c r="E198" i="1"/>
  <c r="F162" i="1"/>
  <c r="F126" i="1"/>
  <c r="F18" i="1"/>
  <c r="E181" i="1"/>
  <c r="E174" i="1"/>
  <c r="E90" i="1"/>
  <c r="F197" i="1"/>
  <c r="F66" i="1"/>
  <c r="E205" i="1"/>
  <c r="E78" i="1"/>
  <c r="F54" i="1"/>
  <c r="C113" i="1"/>
  <c r="E72" i="1"/>
  <c r="F186" i="1"/>
  <c r="F114" i="1"/>
  <c r="E138" i="1"/>
  <c r="E66" i="1"/>
  <c r="F174" i="1"/>
  <c r="F52" i="1"/>
  <c r="E185" i="1"/>
  <c r="E39" i="1"/>
  <c r="D110" i="1"/>
  <c r="F110" i="1" s="1"/>
  <c r="E110" i="1"/>
  <c r="C135" i="1"/>
  <c r="D135" i="1" s="1"/>
  <c r="F135" i="1" s="1"/>
  <c r="E133" i="1"/>
  <c r="E169" i="1"/>
  <c r="F204" i="1"/>
  <c r="F72" i="1"/>
  <c r="D157" i="1"/>
  <c r="F157" i="1" s="1"/>
  <c r="E186" i="1"/>
  <c r="E162" i="1"/>
  <c r="E125" i="1"/>
  <c r="E77" i="1"/>
  <c r="F155" i="1"/>
  <c r="F143" i="1"/>
  <c r="C38" i="1"/>
  <c r="E85" i="1"/>
  <c r="F122" i="1"/>
  <c r="F205" i="1"/>
  <c r="F181" i="1"/>
  <c r="F133" i="1"/>
  <c r="F109" i="1"/>
  <c r="F85" i="1"/>
  <c r="E109" i="1"/>
  <c r="F84" i="1"/>
  <c r="F60" i="1"/>
  <c r="D145" i="1"/>
  <c r="F145" i="1" s="1"/>
  <c r="D25" i="1"/>
  <c r="F25" i="1" s="1"/>
  <c r="E102" i="1"/>
  <c r="F202" i="1"/>
  <c r="F190" i="1"/>
  <c r="F178" i="1"/>
  <c r="F166" i="1"/>
  <c r="F154" i="1"/>
  <c r="F142" i="1"/>
  <c r="F130" i="1"/>
  <c r="F118" i="1"/>
  <c r="F106" i="1"/>
  <c r="F94" i="1"/>
  <c r="F82" i="1"/>
  <c r="F70" i="1"/>
  <c r="F58" i="1"/>
  <c r="F46" i="1"/>
  <c r="F34" i="1"/>
  <c r="F22" i="1"/>
  <c r="F10" i="1"/>
  <c r="E193" i="1"/>
  <c r="E150" i="1"/>
  <c r="E49" i="1"/>
  <c r="F201" i="1"/>
  <c r="F189" i="1"/>
  <c r="F177" i="1"/>
  <c r="F165" i="1"/>
  <c r="F153" i="1"/>
  <c r="F141" i="1"/>
  <c r="F129" i="1"/>
  <c r="F117" i="1"/>
  <c r="F105" i="1"/>
  <c r="F93" i="1"/>
  <c r="F81" i="1"/>
  <c r="F69" i="1"/>
  <c r="F57" i="1"/>
  <c r="F45" i="1"/>
  <c r="F33" i="1"/>
  <c r="F21" i="1"/>
  <c r="F9" i="1"/>
  <c r="F192" i="1"/>
  <c r="E122" i="1"/>
  <c r="E48" i="1"/>
  <c r="F200" i="1"/>
  <c r="F188" i="1"/>
  <c r="F176" i="1"/>
  <c r="F164" i="1"/>
  <c r="F152" i="1"/>
  <c r="F140" i="1"/>
  <c r="F128" i="1"/>
  <c r="F116" i="1"/>
  <c r="F104" i="1"/>
  <c r="F92" i="1"/>
  <c r="F80" i="1"/>
  <c r="F68" i="1"/>
  <c r="F56" i="1"/>
  <c r="F44" i="1"/>
  <c r="F32" i="1"/>
  <c r="F20" i="1"/>
  <c r="F8" i="1"/>
  <c r="F193" i="1"/>
  <c r="F169" i="1"/>
  <c r="F121" i="1"/>
  <c r="F49" i="1"/>
  <c r="E121" i="1"/>
  <c r="E42" i="1"/>
  <c r="F199" i="1"/>
  <c r="F187" i="1"/>
  <c r="F175" i="1"/>
  <c r="F163" i="1"/>
  <c r="F151" i="1"/>
  <c r="F139" i="1"/>
  <c r="F127" i="1"/>
  <c r="F115" i="1"/>
  <c r="F103" i="1"/>
  <c r="F91" i="1"/>
  <c r="F79" i="1"/>
  <c r="F67" i="1"/>
  <c r="F55" i="1"/>
  <c r="F43" i="1"/>
  <c r="F31" i="1"/>
  <c r="F19" i="1"/>
  <c r="F7" i="1"/>
  <c r="D161" i="1"/>
  <c r="F161" i="1" s="1"/>
  <c r="D16" i="1"/>
  <c r="F16" i="1" s="1"/>
  <c r="E16" i="1"/>
  <c r="D137" i="1"/>
  <c r="F137" i="1" s="1"/>
  <c r="E137" i="1"/>
  <c r="D89" i="1"/>
  <c r="F89" i="1" s="1"/>
  <c r="E89" i="1"/>
  <c r="E204" i="1"/>
  <c r="E167" i="1"/>
  <c r="E155" i="1"/>
  <c r="E11" i="1"/>
  <c r="E202" i="1"/>
  <c r="E190" i="1"/>
  <c r="E178" i="1"/>
  <c r="E166" i="1"/>
  <c r="E154" i="1"/>
  <c r="E142" i="1"/>
  <c r="E130" i="1"/>
  <c r="E118" i="1"/>
  <c r="E106" i="1"/>
  <c r="E94" i="1"/>
  <c r="E82" i="1"/>
  <c r="E70" i="1"/>
  <c r="E58" i="1"/>
  <c r="E46" i="1"/>
  <c r="E34" i="1"/>
  <c r="E22" i="1"/>
  <c r="E10" i="1"/>
  <c r="E201" i="1"/>
  <c r="E189" i="1"/>
  <c r="E177" i="1"/>
  <c r="E165" i="1"/>
  <c r="E153" i="1"/>
  <c r="E141" i="1"/>
  <c r="E129" i="1"/>
  <c r="E117" i="1"/>
  <c r="E105" i="1"/>
  <c r="E93" i="1"/>
  <c r="E81" i="1"/>
  <c r="E69" i="1"/>
  <c r="E57" i="1"/>
  <c r="E45" i="1"/>
  <c r="E33" i="1"/>
  <c r="E21" i="1"/>
  <c r="E9" i="1"/>
  <c r="E200" i="1"/>
  <c r="E188" i="1"/>
  <c r="E176" i="1"/>
  <c r="E164" i="1"/>
  <c r="E152" i="1"/>
  <c r="E140" i="1"/>
  <c r="E128" i="1"/>
  <c r="E116" i="1"/>
  <c r="E104" i="1"/>
  <c r="E92" i="1"/>
  <c r="E80" i="1"/>
  <c r="E68" i="1"/>
  <c r="E56" i="1"/>
  <c r="E44" i="1"/>
  <c r="E32" i="1"/>
  <c r="E20" i="1"/>
  <c r="E8" i="1"/>
  <c r="E199" i="1"/>
  <c r="E187" i="1"/>
  <c r="E175" i="1"/>
  <c r="E163" i="1"/>
  <c r="E151" i="1"/>
  <c r="E139" i="1"/>
  <c r="E127" i="1"/>
  <c r="E115" i="1"/>
  <c r="E103" i="1"/>
  <c r="E91" i="1"/>
  <c r="E79" i="1"/>
  <c r="E67" i="1"/>
  <c r="E55" i="1"/>
  <c r="E43" i="1"/>
  <c r="E31" i="1"/>
  <c r="E19" i="1"/>
  <c r="E7" i="1"/>
  <c r="E65" i="1" l="1"/>
  <c r="E143" i="1"/>
  <c r="E60" i="1"/>
  <c r="E40" i="1"/>
  <c r="E195" i="1"/>
  <c r="E107" i="1"/>
  <c r="E62" i="1"/>
  <c r="E86" i="1"/>
  <c r="E27" i="1"/>
  <c r="E206" i="1"/>
  <c r="E101" i="1"/>
  <c r="D159" i="1"/>
  <c r="F159" i="1" s="1"/>
  <c r="G159" i="1" s="1"/>
  <c r="E12" i="1"/>
  <c r="E95" i="1"/>
  <c r="E74" i="1"/>
  <c r="E184" i="1"/>
  <c r="E14" i="1"/>
  <c r="E84" i="1"/>
  <c r="E24" i="1"/>
  <c r="E51" i="1"/>
  <c r="E147" i="1"/>
  <c r="E23" i="1"/>
  <c r="E15" i="1"/>
  <c r="E83" i="1"/>
  <c r="E156" i="1"/>
  <c r="E123" i="1"/>
  <c r="E168" i="1"/>
  <c r="D17" i="1"/>
  <c r="F17" i="1" s="1"/>
  <c r="G17" i="1" s="1"/>
  <c r="D144" i="1"/>
  <c r="F144" i="1" s="1"/>
  <c r="G144" i="1" s="1"/>
  <c r="E192" i="1"/>
  <c r="E171" i="1"/>
  <c r="E194" i="1"/>
  <c r="E183" i="1"/>
  <c r="E196" i="1"/>
  <c r="D61" i="1"/>
  <c r="F61" i="1" s="1"/>
  <c r="I61" i="1" s="1"/>
  <c r="J61" i="1" s="1"/>
  <c r="E108" i="1"/>
  <c r="E112" i="1"/>
  <c r="D160" i="1"/>
  <c r="F160" i="1" s="1"/>
  <c r="I160" i="1" s="1"/>
  <c r="J160" i="1" s="1"/>
  <c r="E172" i="1"/>
  <c r="E180" i="1"/>
  <c r="E136" i="1"/>
  <c r="E53" i="1"/>
  <c r="G50" i="1"/>
  <c r="I50" i="1"/>
  <c r="J50" i="1" s="1"/>
  <c r="G171" i="1"/>
  <c r="I171" i="1"/>
  <c r="J171" i="1" s="1"/>
  <c r="G27" i="1"/>
  <c r="I27" i="1"/>
  <c r="J27" i="1" s="1"/>
  <c r="G168" i="1"/>
  <c r="I168" i="1"/>
  <c r="J168" i="1" s="1"/>
  <c r="K168" i="1" s="1"/>
  <c r="G13" i="1"/>
  <c r="I13" i="1"/>
  <c r="J13" i="1" s="1"/>
  <c r="K13" i="1" s="1"/>
  <c r="L13" i="1" s="1"/>
  <c r="G120" i="1"/>
  <c r="I120" i="1"/>
  <c r="J120" i="1" s="1"/>
  <c r="K120" i="1" s="1"/>
  <c r="L120" i="1" s="1"/>
  <c r="G12" i="1"/>
  <c r="I12" i="1"/>
  <c r="J12" i="1" s="1"/>
  <c r="G29" i="1"/>
  <c r="I29" i="1"/>
  <c r="J29" i="1" s="1"/>
  <c r="K29" i="1" s="1"/>
  <c r="L29" i="1" s="1"/>
  <c r="G172" i="1"/>
  <c r="I172" i="1"/>
  <c r="J172" i="1" s="1"/>
  <c r="G91" i="1"/>
  <c r="I91" i="1"/>
  <c r="J91" i="1" s="1"/>
  <c r="G153" i="1"/>
  <c r="I153" i="1"/>
  <c r="J153" i="1" s="1"/>
  <c r="K153" i="1" s="1"/>
  <c r="L153" i="1" s="1"/>
  <c r="G148" i="1"/>
  <c r="I148" i="1"/>
  <c r="J148" i="1" s="1"/>
  <c r="K148" i="1" s="1"/>
  <c r="L148" i="1" s="1"/>
  <c r="G76" i="1"/>
  <c r="I76" i="1"/>
  <c r="J76" i="1" s="1"/>
  <c r="G103" i="1"/>
  <c r="I103" i="1"/>
  <c r="J103" i="1" s="1"/>
  <c r="K103" i="1" s="1"/>
  <c r="G165" i="1"/>
  <c r="I165" i="1"/>
  <c r="J165" i="1" s="1"/>
  <c r="G47" i="1"/>
  <c r="I47" i="1"/>
  <c r="J47" i="1" s="1"/>
  <c r="K47" i="1" s="1"/>
  <c r="L47" i="1" s="1"/>
  <c r="G115" i="1"/>
  <c r="I115" i="1"/>
  <c r="J115" i="1" s="1"/>
  <c r="K115" i="1" s="1"/>
  <c r="L115" i="1" s="1"/>
  <c r="G177" i="1"/>
  <c r="I177" i="1"/>
  <c r="J177" i="1" s="1"/>
  <c r="K177" i="1" s="1"/>
  <c r="L177" i="1" s="1"/>
  <c r="G11" i="1"/>
  <c r="I11" i="1"/>
  <c r="J11" i="1" s="1"/>
  <c r="G54" i="1"/>
  <c r="I54" i="1"/>
  <c r="J54" i="1" s="1"/>
  <c r="K54" i="1" s="1"/>
  <c r="L54" i="1" s="1"/>
  <c r="G59" i="1"/>
  <c r="I59" i="1"/>
  <c r="J59" i="1" s="1"/>
  <c r="G189" i="1"/>
  <c r="I189" i="1"/>
  <c r="J189" i="1" s="1"/>
  <c r="K189" i="1" s="1"/>
  <c r="G30" i="1"/>
  <c r="I30" i="1"/>
  <c r="J30" i="1" s="1"/>
  <c r="K30" i="1" s="1"/>
  <c r="L30" i="1" s="1"/>
  <c r="G133" i="1"/>
  <c r="I133" i="1"/>
  <c r="J133" i="1" s="1"/>
  <c r="K133" i="1" s="1"/>
  <c r="G126" i="1"/>
  <c r="I126" i="1"/>
  <c r="J126" i="1" s="1"/>
  <c r="G194" i="1"/>
  <c r="I194" i="1"/>
  <c r="J194" i="1" s="1"/>
  <c r="K194" i="1" s="1"/>
  <c r="L194" i="1" s="1"/>
  <c r="G151" i="1"/>
  <c r="I151" i="1"/>
  <c r="J151" i="1" s="1"/>
  <c r="G135" i="1"/>
  <c r="I135" i="1"/>
  <c r="J135" i="1" s="1"/>
  <c r="K135" i="1" s="1"/>
  <c r="L135" i="1" s="1"/>
  <c r="G150" i="1"/>
  <c r="I150" i="1"/>
  <c r="J150" i="1" s="1"/>
  <c r="K150" i="1" s="1"/>
  <c r="L150" i="1" s="1"/>
  <c r="G98" i="1"/>
  <c r="I98" i="1"/>
  <c r="J98" i="1" s="1"/>
  <c r="K98" i="1" s="1"/>
  <c r="L98" i="1" s="1"/>
  <c r="G205" i="1"/>
  <c r="I205" i="1"/>
  <c r="J205" i="1" s="1"/>
  <c r="K205" i="1" s="1"/>
  <c r="L205" i="1" s="1"/>
  <c r="G31" i="1"/>
  <c r="I31" i="1"/>
  <c r="J31" i="1" s="1"/>
  <c r="G93" i="1"/>
  <c r="I93" i="1"/>
  <c r="J93" i="1" s="1"/>
  <c r="G66" i="1"/>
  <c r="I66" i="1"/>
  <c r="J66" i="1" s="1"/>
  <c r="K66" i="1" s="1"/>
  <c r="L66" i="1" s="1"/>
  <c r="G204" i="1"/>
  <c r="I204" i="1"/>
  <c r="J204" i="1" s="1"/>
  <c r="K204" i="1" s="1"/>
  <c r="G32" i="1"/>
  <c r="I32" i="1"/>
  <c r="J32" i="1" s="1"/>
  <c r="K32" i="1" s="1"/>
  <c r="L32" i="1" s="1"/>
  <c r="G130" i="1"/>
  <c r="I130" i="1"/>
  <c r="J130" i="1" s="1"/>
  <c r="K130" i="1" s="1"/>
  <c r="L130" i="1" s="1"/>
  <c r="G35" i="1"/>
  <c r="I35" i="1"/>
  <c r="J35" i="1" s="1"/>
  <c r="G28" i="1"/>
  <c r="I28" i="1"/>
  <c r="J28" i="1" s="1"/>
  <c r="G188" i="1"/>
  <c r="I188" i="1"/>
  <c r="J188" i="1" s="1"/>
  <c r="K188" i="1" s="1"/>
  <c r="L188" i="1" s="1"/>
  <c r="G62" i="1"/>
  <c r="I62" i="1"/>
  <c r="J62" i="1" s="1"/>
  <c r="K62" i="1" s="1"/>
  <c r="L62" i="1" s="1"/>
  <c r="G26" i="1"/>
  <c r="I26" i="1"/>
  <c r="J26" i="1" s="1"/>
  <c r="K26" i="1" s="1"/>
  <c r="G102" i="1"/>
  <c r="I102" i="1"/>
  <c r="J102" i="1" s="1"/>
  <c r="G108" i="1"/>
  <c r="I108" i="1"/>
  <c r="J108" i="1" s="1"/>
  <c r="G56" i="1"/>
  <c r="I56" i="1"/>
  <c r="J56" i="1" s="1"/>
  <c r="G10" i="1"/>
  <c r="I10" i="1"/>
  <c r="J10" i="1" s="1"/>
  <c r="K10" i="1" s="1"/>
  <c r="L10" i="1" s="1"/>
  <c r="G74" i="1"/>
  <c r="I74" i="1"/>
  <c r="J74" i="1" s="1"/>
  <c r="K74" i="1" s="1"/>
  <c r="L74" i="1" s="1"/>
  <c r="G42" i="1"/>
  <c r="I42" i="1"/>
  <c r="J42" i="1" s="1"/>
  <c r="G203" i="1"/>
  <c r="I203" i="1"/>
  <c r="J203" i="1" s="1"/>
  <c r="K203" i="1" s="1"/>
  <c r="G112" i="1"/>
  <c r="I112" i="1"/>
  <c r="J112" i="1" s="1"/>
  <c r="K112" i="1" s="1"/>
  <c r="L112" i="1" s="1"/>
  <c r="G121" i="1"/>
  <c r="I121" i="1"/>
  <c r="J121" i="1" s="1"/>
  <c r="G45" i="1"/>
  <c r="I45" i="1"/>
  <c r="J45" i="1" s="1"/>
  <c r="K45" i="1" s="1"/>
  <c r="L45" i="1" s="1"/>
  <c r="G109" i="1"/>
  <c r="I109" i="1"/>
  <c r="J109" i="1" s="1"/>
  <c r="K109" i="1" s="1"/>
  <c r="L109" i="1" s="1"/>
  <c r="G206" i="1"/>
  <c r="I206" i="1"/>
  <c r="J206" i="1" s="1"/>
  <c r="G18" i="1"/>
  <c r="I18" i="1"/>
  <c r="J18" i="1" s="1"/>
  <c r="G136" i="1"/>
  <c r="I136" i="1"/>
  <c r="G161" i="1"/>
  <c r="I161" i="1"/>
  <c r="J161" i="1" s="1"/>
  <c r="G80" i="1"/>
  <c r="I80" i="1"/>
  <c r="J80" i="1" s="1"/>
  <c r="K80" i="1" s="1"/>
  <c r="L80" i="1" s="1"/>
  <c r="G201" i="1"/>
  <c r="I201" i="1"/>
  <c r="J201" i="1" s="1"/>
  <c r="K201" i="1" s="1"/>
  <c r="L201" i="1" s="1"/>
  <c r="G83" i="1"/>
  <c r="I83" i="1"/>
  <c r="J83" i="1" s="1"/>
  <c r="G52" i="1"/>
  <c r="I52" i="1"/>
  <c r="J52" i="1" s="1"/>
  <c r="G147" i="1"/>
  <c r="I147" i="1"/>
  <c r="J147" i="1" s="1"/>
  <c r="K147" i="1" s="1"/>
  <c r="G7" i="1"/>
  <c r="I7" i="1"/>
  <c r="J7" i="1" s="1"/>
  <c r="G69" i="1"/>
  <c r="I69" i="1"/>
  <c r="J69" i="1" s="1"/>
  <c r="K69" i="1" s="1"/>
  <c r="L69" i="1" s="1"/>
  <c r="G181" i="1"/>
  <c r="I181" i="1"/>
  <c r="J181" i="1" s="1"/>
  <c r="K181" i="1" s="1"/>
  <c r="L181" i="1" s="1"/>
  <c r="G163" i="1"/>
  <c r="I163" i="1"/>
  <c r="J163" i="1" s="1"/>
  <c r="G81" i="1"/>
  <c r="I81" i="1"/>
  <c r="J81" i="1" s="1"/>
  <c r="K81" i="1" s="1"/>
  <c r="L81" i="1" s="1"/>
  <c r="G202" i="1"/>
  <c r="I202" i="1"/>
  <c r="J202" i="1" s="1"/>
  <c r="K202" i="1" s="1"/>
  <c r="L202" i="1" s="1"/>
  <c r="G24" i="1"/>
  <c r="I24" i="1"/>
  <c r="J24" i="1" s="1"/>
  <c r="G77" i="1"/>
  <c r="I77" i="1"/>
  <c r="J77" i="1" s="1"/>
  <c r="K77" i="1" s="1"/>
  <c r="L77" i="1" s="1"/>
  <c r="G122" i="1"/>
  <c r="I122" i="1"/>
  <c r="J122" i="1" s="1"/>
  <c r="K122" i="1" s="1"/>
  <c r="L122" i="1" s="1"/>
  <c r="G41" i="1"/>
  <c r="I41" i="1"/>
  <c r="J41" i="1" s="1"/>
  <c r="G187" i="1"/>
  <c r="I187" i="1"/>
  <c r="J187" i="1" s="1"/>
  <c r="K187" i="1" s="1"/>
  <c r="L187" i="1" s="1"/>
  <c r="G105" i="1"/>
  <c r="I105" i="1"/>
  <c r="J105" i="1" s="1"/>
  <c r="K105" i="1" s="1"/>
  <c r="L105" i="1" s="1"/>
  <c r="G82" i="1"/>
  <c r="I82" i="1"/>
  <c r="J82" i="1" s="1"/>
  <c r="G184" i="1"/>
  <c r="I184" i="1"/>
  <c r="J184" i="1" s="1"/>
  <c r="K184" i="1" s="1"/>
  <c r="L184" i="1" s="1"/>
  <c r="G39" i="1"/>
  <c r="I39" i="1"/>
  <c r="J39" i="1" s="1"/>
  <c r="K39" i="1" s="1"/>
  <c r="G48" i="1"/>
  <c r="I48" i="1"/>
  <c r="J48" i="1" s="1"/>
  <c r="K48" i="1" s="1"/>
  <c r="L48" i="1" s="1"/>
  <c r="G14" i="1"/>
  <c r="I14" i="1"/>
  <c r="J14" i="1" s="1"/>
  <c r="G55" i="1"/>
  <c r="I55" i="1"/>
  <c r="J55" i="1" s="1"/>
  <c r="K55" i="1" s="1"/>
  <c r="L55" i="1" s="1"/>
  <c r="G199" i="1"/>
  <c r="I199" i="1"/>
  <c r="J199" i="1" s="1"/>
  <c r="G140" i="1"/>
  <c r="I140" i="1"/>
  <c r="J140" i="1" s="1"/>
  <c r="K140" i="1" s="1"/>
  <c r="L140" i="1" s="1"/>
  <c r="G117" i="1"/>
  <c r="I117" i="1"/>
  <c r="J117" i="1" s="1"/>
  <c r="K117" i="1" s="1"/>
  <c r="L117" i="1" s="1"/>
  <c r="G94" i="1"/>
  <c r="I94" i="1"/>
  <c r="J94" i="1" s="1"/>
  <c r="K94" i="1" s="1"/>
  <c r="G145" i="1"/>
  <c r="I145" i="1"/>
  <c r="J145" i="1" s="1"/>
  <c r="K145" i="1" s="1"/>
  <c r="L145" i="1" s="1"/>
  <c r="G143" i="1"/>
  <c r="I143" i="1"/>
  <c r="J143" i="1" s="1"/>
  <c r="K143" i="1" s="1"/>
  <c r="L143" i="1" s="1"/>
  <c r="G114" i="1"/>
  <c r="I114" i="1"/>
  <c r="J114" i="1" s="1"/>
  <c r="G197" i="1"/>
  <c r="I197" i="1"/>
  <c r="J197" i="1" s="1"/>
  <c r="K197" i="1" s="1"/>
  <c r="G78" i="1"/>
  <c r="I78" i="1"/>
  <c r="J78" i="1" s="1"/>
  <c r="K78" i="1" s="1"/>
  <c r="L78" i="1" s="1"/>
  <c r="G36" i="1"/>
  <c r="I36" i="1"/>
  <c r="J36" i="1" s="1"/>
  <c r="G9" i="1"/>
  <c r="I9" i="1"/>
  <c r="J9" i="1" s="1"/>
  <c r="G146" i="1"/>
  <c r="I146" i="1"/>
  <c r="J146" i="1" s="1"/>
  <c r="K146" i="1" s="1"/>
  <c r="L146" i="1" s="1"/>
  <c r="G44" i="1"/>
  <c r="I44" i="1"/>
  <c r="J44" i="1" s="1"/>
  <c r="G142" i="1"/>
  <c r="I142" i="1"/>
  <c r="J142" i="1" s="1"/>
  <c r="K142" i="1" s="1"/>
  <c r="L142" i="1" s="1"/>
  <c r="G99" i="1"/>
  <c r="I99" i="1"/>
  <c r="J99" i="1" s="1"/>
  <c r="K99" i="1" s="1"/>
  <c r="L99" i="1" s="1"/>
  <c r="G49" i="1"/>
  <c r="I49" i="1"/>
  <c r="J49" i="1" s="1"/>
  <c r="G33" i="1"/>
  <c r="I33" i="1"/>
  <c r="J33" i="1" s="1"/>
  <c r="K33" i="1" s="1"/>
  <c r="L33" i="1" s="1"/>
  <c r="G154" i="1"/>
  <c r="I154" i="1"/>
  <c r="J154" i="1" s="1"/>
  <c r="K154" i="1" s="1"/>
  <c r="L154" i="1" s="1"/>
  <c r="G170" i="1"/>
  <c r="I170" i="1"/>
  <c r="J170" i="1" s="1"/>
  <c r="G68" i="1"/>
  <c r="I68" i="1"/>
  <c r="J68" i="1" s="1"/>
  <c r="K68" i="1" s="1"/>
  <c r="L68" i="1" s="1"/>
  <c r="G166" i="1"/>
  <c r="I166" i="1"/>
  <c r="J166" i="1" s="1"/>
  <c r="K166" i="1" s="1"/>
  <c r="L166" i="1" s="1"/>
  <c r="G182" i="1"/>
  <c r="I182" i="1"/>
  <c r="J182" i="1" s="1"/>
  <c r="G123" i="1"/>
  <c r="I123" i="1"/>
  <c r="J123" i="1" s="1"/>
  <c r="G139" i="1"/>
  <c r="I139" i="1"/>
  <c r="J139" i="1" s="1"/>
  <c r="K139" i="1" s="1"/>
  <c r="G57" i="1"/>
  <c r="I57" i="1"/>
  <c r="J57" i="1" s="1"/>
  <c r="G178" i="1"/>
  <c r="I178" i="1"/>
  <c r="J178" i="1" s="1"/>
  <c r="K178" i="1" s="1"/>
  <c r="L178" i="1" s="1"/>
  <c r="G97" i="1"/>
  <c r="I97" i="1"/>
  <c r="J97" i="1" s="1"/>
  <c r="K97" i="1" s="1"/>
  <c r="L97" i="1" s="1"/>
  <c r="G92" i="1"/>
  <c r="I92" i="1"/>
  <c r="J92" i="1" s="1"/>
  <c r="K92" i="1" s="1"/>
  <c r="L92" i="1" s="1"/>
  <c r="G46" i="1"/>
  <c r="I46" i="1"/>
  <c r="J46" i="1" s="1"/>
  <c r="K46" i="1" s="1"/>
  <c r="G95" i="1"/>
  <c r="I95" i="1"/>
  <c r="J95" i="1" s="1"/>
  <c r="K95" i="1" s="1"/>
  <c r="L95" i="1" s="1"/>
  <c r="G174" i="1"/>
  <c r="I174" i="1"/>
  <c r="J174" i="1" s="1"/>
  <c r="G162" i="1"/>
  <c r="I162" i="1"/>
  <c r="J162" i="1" s="1"/>
  <c r="K162" i="1" s="1"/>
  <c r="L162" i="1" s="1"/>
  <c r="G19" i="1"/>
  <c r="I19" i="1"/>
  <c r="J19" i="1" s="1"/>
  <c r="K19" i="1" s="1"/>
  <c r="G104" i="1"/>
  <c r="I104" i="1"/>
  <c r="J104" i="1" s="1"/>
  <c r="K104" i="1" s="1"/>
  <c r="L104" i="1" s="1"/>
  <c r="G101" i="1"/>
  <c r="I101" i="1"/>
  <c r="J101" i="1" s="1"/>
  <c r="K101" i="1" s="1"/>
  <c r="G116" i="1"/>
  <c r="I116" i="1"/>
  <c r="J116" i="1" s="1"/>
  <c r="K116" i="1" s="1"/>
  <c r="L116" i="1" s="1"/>
  <c r="G70" i="1"/>
  <c r="I70" i="1"/>
  <c r="J70" i="1" s="1"/>
  <c r="K70" i="1" s="1"/>
  <c r="L70" i="1" s="1"/>
  <c r="G119" i="1"/>
  <c r="I119" i="1"/>
  <c r="J119" i="1" s="1"/>
  <c r="K119" i="1" s="1"/>
  <c r="G138" i="1"/>
  <c r="I138" i="1"/>
  <c r="J138" i="1" s="1"/>
  <c r="K138" i="1" s="1"/>
  <c r="L138" i="1" s="1"/>
  <c r="G43" i="1"/>
  <c r="I43" i="1"/>
  <c r="J43" i="1" s="1"/>
  <c r="K43" i="1" s="1"/>
  <c r="L43" i="1" s="1"/>
  <c r="G51" i="1"/>
  <c r="I51" i="1"/>
  <c r="J51" i="1" s="1"/>
  <c r="K51" i="1" s="1"/>
  <c r="L51" i="1" s="1"/>
  <c r="G192" i="1"/>
  <c r="I192" i="1"/>
  <c r="J192" i="1" s="1"/>
  <c r="K192" i="1" s="1"/>
  <c r="L192" i="1" s="1"/>
  <c r="G53" i="1"/>
  <c r="I53" i="1"/>
  <c r="J53" i="1" s="1"/>
  <c r="G185" i="1"/>
  <c r="I185" i="1"/>
  <c r="J185" i="1" s="1"/>
  <c r="K185" i="1" s="1"/>
  <c r="L185" i="1" s="1"/>
  <c r="G137" i="1"/>
  <c r="I137" i="1"/>
  <c r="J137" i="1" s="1"/>
  <c r="K137" i="1" s="1"/>
  <c r="G67" i="1"/>
  <c r="I67" i="1"/>
  <c r="J67" i="1" s="1"/>
  <c r="G8" i="1"/>
  <c r="I8" i="1"/>
  <c r="J8" i="1" s="1"/>
  <c r="K8" i="1" s="1"/>
  <c r="L8" i="1" s="1"/>
  <c r="G152" i="1"/>
  <c r="I152" i="1"/>
  <c r="J152" i="1" s="1"/>
  <c r="K152" i="1" s="1"/>
  <c r="G129" i="1"/>
  <c r="I129" i="1"/>
  <c r="J129" i="1" s="1"/>
  <c r="G106" i="1"/>
  <c r="I106" i="1"/>
  <c r="J106" i="1" s="1"/>
  <c r="K106" i="1" s="1"/>
  <c r="L106" i="1" s="1"/>
  <c r="G60" i="1"/>
  <c r="I60" i="1"/>
  <c r="J60" i="1" s="1"/>
  <c r="K60" i="1" s="1"/>
  <c r="L60" i="1" s="1"/>
  <c r="G155" i="1"/>
  <c r="I155" i="1"/>
  <c r="J155" i="1" s="1"/>
  <c r="G110" i="1"/>
  <c r="I110" i="1"/>
  <c r="J110" i="1" s="1"/>
  <c r="K110" i="1" s="1"/>
  <c r="L110" i="1" s="1"/>
  <c r="G186" i="1"/>
  <c r="I186" i="1"/>
  <c r="J186" i="1" s="1"/>
  <c r="G198" i="1"/>
  <c r="I198" i="1"/>
  <c r="J198" i="1" s="1"/>
  <c r="K198" i="1" s="1"/>
  <c r="G63" i="1"/>
  <c r="I63" i="1"/>
  <c r="J63" i="1" s="1"/>
  <c r="K63" i="1" s="1"/>
  <c r="L63" i="1" s="1"/>
  <c r="G40" i="1"/>
  <c r="I40" i="1"/>
  <c r="J40" i="1" s="1"/>
  <c r="G16" i="1"/>
  <c r="I16" i="1"/>
  <c r="J16" i="1" s="1"/>
  <c r="K16" i="1" s="1"/>
  <c r="L16" i="1" s="1"/>
  <c r="G176" i="1"/>
  <c r="I176" i="1"/>
  <c r="J176" i="1" s="1"/>
  <c r="K176" i="1" s="1"/>
  <c r="L176" i="1" s="1"/>
  <c r="G156" i="1"/>
  <c r="I156" i="1"/>
  <c r="J156" i="1" s="1"/>
  <c r="G87" i="1"/>
  <c r="I87" i="1"/>
  <c r="J87" i="1" s="1"/>
  <c r="K87" i="1" s="1"/>
  <c r="L87" i="1" s="1"/>
  <c r="G179" i="1"/>
  <c r="I179" i="1"/>
  <c r="J179" i="1" s="1"/>
  <c r="K179" i="1" s="1"/>
  <c r="L179" i="1" s="1"/>
  <c r="G15" i="1"/>
  <c r="I15" i="1"/>
  <c r="J15" i="1" s="1"/>
  <c r="G132" i="1"/>
  <c r="I132" i="1"/>
  <c r="J132" i="1" s="1"/>
  <c r="K132" i="1" s="1"/>
  <c r="L132" i="1" s="1"/>
  <c r="G21" i="1"/>
  <c r="I21" i="1"/>
  <c r="J21" i="1" s="1"/>
  <c r="K21" i="1" s="1"/>
  <c r="L21" i="1" s="1"/>
  <c r="G191" i="1"/>
  <c r="I191" i="1"/>
  <c r="J191" i="1" s="1"/>
  <c r="G64" i="1"/>
  <c r="I64" i="1"/>
  <c r="G65" i="1"/>
  <c r="I65" i="1"/>
  <c r="J65" i="1" s="1"/>
  <c r="K65" i="1" s="1"/>
  <c r="L65" i="1" s="1"/>
  <c r="G200" i="1"/>
  <c r="I200" i="1"/>
  <c r="J200" i="1" s="1"/>
  <c r="G85" i="1"/>
  <c r="I85" i="1"/>
  <c r="J85" i="1" s="1"/>
  <c r="K85" i="1" s="1"/>
  <c r="G183" i="1"/>
  <c r="I183" i="1"/>
  <c r="J183" i="1" s="1"/>
  <c r="K183" i="1" s="1"/>
  <c r="G100" i="1"/>
  <c r="I100" i="1"/>
  <c r="J100" i="1" s="1"/>
  <c r="G127" i="1"/>
  <c r="I127" i="1"/>
  <c r="J127" i="1" s="1"/>
  <c r="K127" i="1" s="1"/>
  <c r="L127" i="1" s="1"/>
  <c r="G22" i="1"/>
  <c r="I22" i="1"/>
  <c r="J22" i="1" s="1"/>
  <c r="K22" i="1" s="1"/>
  <c r="L22" i="1" s="1"/>
  <c r="G71" i="1"/>
  <c r="I71" i="1"/>
  <c r="J71" i="1" s="1"/>
  <c r="G124" i="1"/>
  <c r="I124" i="1"/>
  <c r="J124" i="1" s="1"/>
  <c r="K124" i="1" s="1"/>
  <c r="L124" i="1" s="1"/>
  <c r="G169" i="1"/>
  <c r="I169" i="1"/>
  <c r="J169" i="1" s="1"/>
  <c r="K169" i="1" s="1"/>
  <c r="L169" i="1" s="1"/>
  <c r="G34" i="1"/>
  <c r="I34" i="1"/>
  <c r="J34" i="1" s="1"/>
  <c r="G196" i="1"/>
  <c r="I196" i="1"/>
  <c r="J196" i="1" s="1"/>
  <c r="G193" i="1"/>
  <c r="I193" i="1"/>
  <c r="J193" i="1" s="1"/>
  <c r="G190" i="1"/>
  <c r="I190" i="1"/>
  <c r="J190" i="1" s="1"/>
  <c r="K190" i="1" s="1"/>
  <c r="L190" i="1" s="1"/>
  <c r="G157" i="1"/>
  <c r="I157" i="1"/>
  <c r="J157" i="1" s="1"/>
  <c r="G89" i="1"/>
  <c r="I89" i="1"/>
  <c r="J89" i="1" s="1"/>
  <c r="K89" i="1" s="1"/>
  <c r="L89" i="1" s="1"/>
  <c r="G58" i="1"/>
  <c r="I58" i="1"/>
  <c r="J58" i="1" s="1"/>
  <c r="G107" i="1"/>
  <c r="I107" i="1"/>
  <c r="J107" i="1" s="1"/>
  <c r="G175" i="1"/>
  <c r="I175" i="1"/>
  <c r="J175" i="1" s="1"/>
  <c r="K175" i="1" s="1"/>
  <c r="L175" i="1" s="1"/>
  <c r="G72" i="1"/>
  <c r="I72" i="1"/>
  <c r="J72" i="1" s="1"/>
  <c r="K72" i="1" s="1"/>
  <c r="L72" i="1" s="1"/>
  <c r="G180" i="1"/>
  <c r="I180" i="1"/>
  <c r="J180" i="1" s="1"/>
  <c r="G149" i="1"/>
  <c r="I149" i="1"/>
  <c r="J149" i="1" s="1"/>
  <c r="K149" i="1" s="1"/>
  <c r="L149" i="1" s="1"/>
  <c r="G128" i="1"/>
  <c r="I128" i="1"/>
  <c r="J128" i="1" s="1"/>
  <c r="G25" i="1"/>
  <c r="I25" i="1"/>
  <c r="J25" i="1" s="1"/>
  <c r="K25" i="1" s="1"/>
  <c r="L25" i="1" s="1"/>
  <c r="G131" i="1"/>
  <c r="I131" i="1"/>
  <c r="J131" i="1" s="1"/>
  <c r="K131" i="1" s="1"/>
  <c r="L131" i="1" s="1"/>
  <c r="G125" i="1"/>
  <c r="I125" i="1"/>
  <c r="J125" i="1" s="1"/>
  <c r="G195" i="1"/>
  <c r="I195" i="1"/>
  <c r="J195" i="1" s="1"/>
  <c r="K195" i="1" s="1"/>
  <c r="L195" i="1" s="1"/>
  <c r="G86" i="1"/>
  <c r="I86" i="1"/>
  <c r="J86" i="1" s="1"/>
  <c r="G79" i="1"/>
  <c r="I79" i="1"/>
  <c r="J79" i="1" s="1"/>
  <c r="G20" i="1"/>
  <c r="I20" i="1"/>
  <c r="J20" i="1" s="1"/>
  <c r="G164" i="1"/>
  <c r="I164" i="1"/>
  <c r="J164" i="1" s="1"/>
  <c r="K164" i="1" s="1"/>
  <c r="L164" i="1" s="1"/>
  <c r="G141" i="1"/>
  <c r="I141" i="1"/>
  <c r="J141" i="1" s="1"/>
  <c r="G118" i="1"/>
  <c r="I118" i="1"/>
  <c r="J118" i="1" s="1"/>
  <c r="K118" i="1" s="1"/>
  <c r="L118" i="1" s="1"/>
  <c r="G84" i="1"/>
  <c r="I84" i="1"/>
  <c r="J84" i="1" s="1"/>
  <c r="G90" i="1"/>
  <c r="I90" i="1"/>
  <c r="J90" i="1" s="1"/>
  <c r="G75" i="1"/>
  <c r="I75" i="1"/>
  <c r="J75" i="1" s="1"/>
  <c r="K75" i="1" s="1"/>
  <c r="L75" i="1" s="1"/>
  <c r="G23" i="1"/>
  <c r="I23" i="1"/>
  <c r="J23" i="1" s="1"/>
  <c r="K23" i="1" s="1"/>
  <c r="L23" i="1" s="1"/>
  <c r="G167" i="1"/>
  <c r="I167" i="1"/>
  <c r="J167" i="1" s="1"/>
  <c r="G134" i="1"/>
  <c r="I134" i="1"/>
  <c r="J134" i="1" s="1"/>
  <c r="K134" i="1" s="1"/>
  <c r="L134" i="1" s="1"/>
  <c r="G173" i="1"/>
  <c r="I173" i="1"/>
  <c r="J173" i="1" s="1"/>
  <c r="E203" i="1"/>
  <c r="E28" i="1"/>
  <c r="E173" i="1"/>
  <c r="E71" i="1"/>
  <c r="D158" i="1"/>
  <c r="F158" i="1" s="1"/>
  <c r="E170" i="1"/>
  <c r="E26" i="1"/>
  <c r="E146" i="1"/>
  <c r="E50" i="1"/>
  <c r="D37" i="1"/>
  <c r="F37" i="1" s="1"/>
  <c r="E98" i="1"/>
  <c r="D96" i="1"/>
  <c r="F96" i="1" s="1"/>
  <c r="E179" i="1"/>
  <c r="E13" i="1"/>
  <c r="E59" i="1"/>
  <c r="E134" i="1"/>
  <c r="E76" i="1"/>
  <c r="E41" i="1"/>
  <c r="E52" i="1"/>
  <c r="E120" i="1"/>
  <c r="E47" i="1"/>
  <c r="E35" i="1"/>
  <c r="E191" i="1"/>
  <c r="E100" i="1"/>
  <c r="E132" i="1"/>
  <c r="E119" i="1"/>
  <c r="D88" i="1"/>
  <c r="F88" i="1" s="1"/>
  <c r="E148" i="1"/>
  <c r="E36" i="1"/>
  <c r="D73" i="1"/>
  <c r="F73" i="1" s="1"/>
  <c r="E124" i="1"/>
  <c r="E131" i="1"/>
  <c r="E64" i="1"/>
  <c r="E182" i="1"/>
  <c r="E149" i="1"/>
  <c r="D111" i="1"/>
  <c r="F111" i="1" s="1"/>
  <c r="E87" i="1"/>
  <c r="E99" i="1"/>
  <c r="E63" i="1"/>
  <c r="E75" i="1"/>
  <c r="D113" i="1"/>
  <c r="F113" i="1" s="1"/>
  <c r="E113" i="1"/>
  <c r="E135" i="1"/>
  <c r="D38" i="1"/>
  <c r="F38" i="1" s="1"/>
  <c r="E38" i="1"/>
  <c r="I159" i="1" l="1"/>
  <c r="J159" i="1" s="1"/>
  <c r="G61" i="1"/>
  <c r="K61" i="1" s="1"/>
  <c r="K173" i="1"/>
  <c r="L173" i="1" s="1"/>
  <c r="K84" i="1"/>
  <c r="L84" i="1" s="1"/>
  <c r="K86" i="1"/>
  <c r="L86" i="1" s="1"/>
  <c r="K159" i="1"/>
  <c r="L159" i="1" s="1"/>
  <c r="K58" i="1"/>
  <c r="L58" i="1" s="1"/>
  <c r="K34" i="1"/>
  <c r="L34" i="1" s="1"/>
  <c r="K100" i="1"/>
  <c r="L100" i="1" s="1"/>
  <c r="K191" i="1"/>
  <c r="L191" i="1" s="1"/>
  <c r="K156" i="1"/>
  <c r="L156" i="1" s="1"/>
  <c r="K186" i="1"/>
  <c r="L186" i="1" s="1"/>
  <c r="K129" i="1"/>
  <c r="L129" i="1" s="1"/>
  <c r="K53" i="1"/>
  <c r="L53" i="1" s="1"/>
  <c r="K174" i="1"/>
  <c r="L174" i="1" s="1"/>
  <c r="K57" i="1"/>
  <c r="L57" i="1" s="1"/>
  <c r="K170" i="1"/>
  <c r="L170" i="1" s="1"/>
  <c r="K44" i="1"/>
  <c r="L44" i="1" s="1"/>
  <c r="K114" i="1"/>
  <c r="L114" i="1" s="1"/>
  <c r="K199" i="1"/>
  <c r="L199" i="1" s="1"/>
  <c r="K82" i="1"/>
  <c r="L82" i="1" s="1"/>
  <c r="K24" i="1"/>
  <c r="L24" i="1" s="1"/>
  <c r="K7" i="1"/>
  <c r="L7" i="1" s="1"/>
  <c r="K161" i="1"/>
  <c r="L161" i="1" s="1"/>
  <c r="K121" i="1"/>
  <c r="K56" i="1"/>
  <c r="L56" i="1" s="1"/>
  <c r="K28" i="1"/>
  <c r="L28" i="1" s="1"/>
  <c r="K93" i="1"/>
  <c r="L93" i="1" s="1"/>
  <c r="K151" i="1"/>
  <c r="L151" i="1" s="1"/>
  <c r="K59" i="1"/>
  <c r="L59" i="1" s="1"/>
  <c r="K165" i="1"/>
  <c r="L165" i="1" s="1"/>
  <c r="K172" i="1"/>
  <c r="L172" i="1" s="1"/>
  <c r="K27" i="1"/>
  <c r="L27" i="1" s="1"/>
  <c r="K167" i="1"/>
  <c r="L167" i="1" s="1"/>
  <c r="K141" i="1"/>
  <c r="L141" i="1" s="1"/>
  <c r="K125" i="1"/>
  <c r="L125" i="1" s="1"/>
  <c r="K180" i="1"/>
  <c r="L180" i="1" s="1"/>
  <c r="K157" i="1"/>
  <c r="L157" i="1" s="1"/>
  <c r="I17" i="1"/>
  <c r="J17" i="1" s="1"/>
  <c r="G160" i="1"/>
  <c r="K160" i="1" s="1"/>
  <c r="L160" i="1" s="1"/>
  <c r="K41" i="1"/>
  <c r="L41" i="1" s="1"/>
  <c r="K71" i="1"/>
  <c r="L71" i="1" s="1"/>
  <c r="K200" i="1"/>
  <c r="L200" i="1" s="1"/>
  <c r="K67" i="1"/>
  <c r="M67" i="1" s="1"/>
  <c r="K49" i="1"/>
  <c r="L49" i="1" s="1"/>
  <c r="K36" i="1"/>
  <c r="L36" i="1" s="1"/>
  <c r="K163" i="1"/>
  <c r="M163" i="1" s="1"/>
  <c r="K83" i="1"/>
  <c r="L83" i="1" s="1"/>
  <c r="K206" i="1"/>
  <c r="L206" i="1" s="1"/>
  <c r="K42" i="1"/>
  <c r="L42" i="1" s="1"/>
  <c r="K102" i="1"/>
  <c r="L102" i="1" s="1"/>
  <c r="K126" i="1"/>
  <c r="L126" i="1" s="1"/>
  <c r="K11" i="1"/>
  <c r="L11" i="1" s="1"/>
  <c r="K76" i="1"/>
  <c r="L76" i="1" s="1"/>
  <c r="K12" i="1"/>
  <c r="L12" i="1" s="1"/>
  <c r="K50" i="1"/>
  <c r="L50" i="1" s="1"/>
  <c r="K90" i="1"/>
  <c r="L90" i="1" s="1"/>
  <c r="K182" i="1"/>
  <c r="L182" i="1" s="1"/>
  <c r="K79" i="1"/>
  <c r="L79" i="1" s="1"/>
  <c r="K128" i="1"/>
  <c r="L128" i="1" s="1"/>
  <c r="K107" i="1"/>
  <c r="L107" i="1" s="1"/>
  <c r="K196" i="1"/>
  <c r="L196" i="1" s="1"/>
  <c r="I144" i="1"/>
  <c r="J144" i="1" s="1"/>
  <c r="K144" i="1" s="1"/>
  <c r="L144" i="1" s="1"/>
  <c r="K17" i="1"/>
  <c r="L17" i="1" s="1"/>
  <c r="K20" i="1"/>
  <c r="L20" i="1" s="1"/>
  <c r="K193" i="1"/>
  <c r="L193" i="1" s="1"/>
  <c r="K15" i="1"/>
  <c r="L15" i="1" s="1"/>
  <c r="K40" i="1"/>
  <c r="K155" i="1"/>
  <c r="L155" i="1" s="1"/>
  <c r="K123" i="1"/>
  <c r="M123" i="1" s="1"/>
  <c r="K9" i="1"/>
  <c r="L9" i="1" s="1"/>
  <c r="K14" i="1"/>
  <c r="L14" i="1" s="1"/>
  <c r="K52" i="1"/>
  <c r="L52" i="1" s="1"/>
  <c r="K18" i="1"/>
  <c r="L18" i="1" s="1"/>
  <c r="K35" i="1"/>
  <c r="L35" i="1" s="1"/>
  <c r="K31" i="1"/>
  <c r="L31" i="1" s="1"/>
  <c r="K171" i="1"/>
  <c r="L171" i="1" s="1"/>
  <c r="K108" i="1"/>
  <c r="L108" i="1" s="1"/>
  <c r="G111" i="1"/>
  <c r="I111" i="1"/>
  <c r="J64" i="1"/>
  <c r="K64" i="1" s="1"/>
  <c r="L64" i="1" s="1"/>
  <c r="G113" i="1"/>
  <c r="I113" i="1"/>
  <c r="J113" i="1" s="1"/>
  <c r="K113" i="1" s="1"/>
  <c r="L113" i="1" s="1"/>
  <c r="G37" i="1"/>
  <c r="I37" i="1"/>
  <c r="G96" i="1"/>
  <c r="I96" i="1"/>
  <c r="G158" i="1"/>
  <c r="I158" i="1"/>
  <c r="G88" i="1"/>
  <c r="I88" i="1"/>
  <c r="J88" i="1" s="1"/>
  <c r="K91" i="1"/>
  <c r="L91" i="1" s="1"/>
  <c r="G73" i="1"/>
  <c r="I73" i="1"/>
  <c r="J73" i="1" s="1"/>
  <c r="K73" i="1" s="1"/>
  <c r="L73" i="1" s="1"/>
  <c r="J136" i="1"/>
  <c r="K136" i="1" s="1"/>
  <c r="G38" i="1"/>
  <c r="I38" i="1"/>
  <c r="J38" i="1" s="1"/>
  <c r="M175" i="1"/>
  <c r="M48" i="1"/>
  <c r="M74" i="1"/>
  <c r="L168" i="1"/>
  <c r="M168" i="1"/>
  <c r="L26" i="1"/>
  <c r="M26" i="1"/>
  <c r="M54" i="1"/>
  <c r="M192" i="1"/>
  <c r="M100" i="1"/>
  <c r="M177" i="1"/>
  <c r="M184" i="1"/>
  <c r="M70" i="1"/>
  <c r="M116" i="1"/>
  <c r="M166" i="1"/>
  <c r="M93" i="1"/>
  <c r="M81" i="1"/>
  <c r="M43" i="1"/>
  <c r="M174" i="1"/>
  <c r="M148" i="1"/>
  <c r="M120" i="1"/>
  <c r="M205" i="1"/>
  <c r="L133" i="1"/>
  <c r="M133" i="1"/>
  <c r="L119" i="1"/>
  <c r="M119" i="1"/>
  <c r="M153" i="1"/>
  <c r="M150" i="1"/>
  <c r="M25" i="1"/>
  <c r="M142" i="1"/>
  <c r="M78" i="1"/>
  <c r="M185" i="1"/>
  <c r="M127" i="1"/>
  <c r="M77" i="1"/>
  <c r="M145" i="1"/>
  <c r="M162" i="1"/>
  <c r="M69" i="1"/>
  <c r="M129" i="1"/>
  <c r="M105" i="1"/>
  <c r="M131" i="1"/>
  <c r="M154" i="1"/>
  <c r="M173" i="1"/>
  <c r="M30" i="1"/>
  <c r="M95" i="1"/>
  <c r="M10" i="1"/>
  <c r="M190" i="1"/>
  <c r="M23" i="1"/>
  <c r="M72" i="1"/>
  <c r="L139" i="1"/>
  <c r="M139" i="1"/>
  <c r="L197" i="1"/>
  <c r="M197" i="1"/>
  <c r="L94" i="1"/>
  <c r="M94" i="1"/>
  <c r="L203" i="1"/>
  <c r="M203" i="1"/>
  <c r="L183" i="1"/>
  <c r="M183" i="1"/>
  <c r="L19" i="1"/>
  <c r="M19" i="1"/>
  <c r="L198" i="1"/>
  <c r="M198" i="1"/>
  <c r="L39" i="1"/>
  <c r="M39" i="1"/>
  <c r="L189" i="1"/>
  <c r="M189" i="1"/>
  <c r="L204" i="1"/>
  <c r="M204" i="1"/>
  <c r="L137" i="1"/>
  <c r="M137" i="1"/>
  <c r="L121" i="1"/>
  <c r="M121" i="1"/>
  <c r="L101" i="1"/>
  <c r="M101" i="1"/>
  <c r="L152" i="1"/>
  <c r="M152" i="1"/>
  <c r="L46" i="1"/>
  <c r="M46" i="1"/>
  <c r="L147" i="1"/>
  <c r="M147" i="1"/>
  <c r="L103" i="1"/>
  <c r="M103" i="1"/>
  <c r="L85" i="1"/>
  <c r="M85" i="1"/>
  <c r="M22" i="1"/>
  <c r="M202" i="1"/>
  <c r="M57" i="1"/>
  <c r="M55" i="1"/>
  <c r="M8" i="1"/>
  <c r="M53" i="1"/>
  <c r="M140" i="1"/>
  <c r="M143" i="1"/>
  <c r="M109" i="1"/>
  <c r="M110" i="1"/>
  <c r="M45" i="1"/>
  <c r="M92" i="1"/>
  <c r="M179" i="1"/>
  <c r="M97" i="1"/>
  <c r="M201" i="1"/>
  <c r="M169" i="1"/>
  <c r="M134" i="1"/>
  <c r="M89" i="1"/>
  <c r="M80" i="1"/>
  <c r="M68" i="1"/>
  <c r="M146" i="1"/>
  <c r="M180" i="1"/>
  <c r="M33" i="1"/>
  <c r="M181" i="1"/>
  <c r="M98" i="1"/>
  <c r="M164" i="1"/>
  <c r="M157" i="1"/>
  <c r="M112" i="1"/>
  <c r="M130" i="1"/>
  <c r="M115" i="1"/>
  <c r="M118" i="1"/>
  <c r="M106" i="1"/>
  <c r="M13" i="1"/>
  <c r="M132" i="1"/>
  <c r="M63" i="1"/>
  <c r="M75" i="1"/>
  <c r="M51" i="1"/>
  <c r="M176" i="1"/>
  <c r="M104" i="1"/>
  <c r="M178" i="1"/>
  <c r="M87" i="1"/>
  <c r="M187" i="1"/>
  <c r="M65" i="1"/>
  <c r="M122" i="1"/>
  <c r="M135" i="1"/>
  <c r="M62" i="1"/>
  <c r="M124" i="1"/>
  <c r="M117" i="1"/>
  <c r="M29" i="1"/>
  <c r="M195" i="1"/>
  <c r="M188" i="1"/>
  <c r="M66" i="1"/>
  <c r="M60" i="1"/>
  <c r="M194" i="1"/>
  <c r="M21" i="1"/>
  <c r="M16" i="1"/>
  <c r="M138" i="1"/>
  <c r="M47" i="1"/>
  <c r="M99" i="1"/>
  <c r="M32" i="1"/>
  <c r="M206" i="1"/>
  <c r="M149" i="1"/>
  <c r="M86" i="1" l="1"/>
  <c r="M170" i="1"/>
  <c r="M102" i="1"/>
  <c r="L61" i="1"/>
  <c r="M61" i="1"/>
  <c r="M82" i="1"/>
  <c r="M84" i="1"/>
  <c r="M28" i="1"/>
  <c r="M58" i="1"/>
  <c r="M27" i="1"/>
  <c r="M56" i="1"/>
  <c r="M42" i="1"/>
  <c r="M199" i="1"/>
  <c r="M165" i="1"/>
  <c r="M172" i="1"/>
  <c r="M114" i="1"/>
  <c r="M49" i="1"/>
  <c r="M34" i="1"/>
  <c r="M12" i="1"/>
  <c r="M186" i="1"/>
  <c r="M161" i="1"/>
  <c r="M79" i="1"/>
  <c r="M83" i="1"/>
  <c r="M167" i="1"/>
  <c r="M44" i="1"/>
  <c r="M11" i="1"/>
  <c r="L163" i="1"/>
  <c r="M36" i="1"/>
  <c r="M128" i="1"/>
  <c r="M155" i="1"/>
  <c r="M191" i="1"/>
  <c r="M125" i="1"/>
  <c r="L123" i="1"/>
  <c r="M50" i="1"/>
  <c r="M59" i="1"/>
  <c r="M108" i="1"/>
  <c r="M126" i="1"/>
  <c r="M159" i="1"/>
  <c r="M144" i="1"/>
  <c r="M156" i="1"/>
  <c r="M7" i="1"/>
  <c r="M90" i="1"/>
  <c r="M141" i="1"/>
  <c r="M151" i="1"/>
  <c r="M182" i="1"/>
  <c r="M24" i="1"/>
  <c r="K38" i="1"/>
  <c r="L38" i="1" s="1"/>
  <c r="L67" i="1"/>
  <c r="M17" i="1"/>
  <c r="M71" i="1"/>
  <c r="M76" i="1"/>
  <c r="M171" i="1"/>
  <c r="M196" i="1"/>
  <c r="M107" i="1"/>
  <c r="M160" i="1"/>
  <c r="M200" i="1"/>
  <c r="M193" i="1"/>
  <c r="M15" i="1"/>
  <c r="M41" i="1"/>
  <c r="M20" i="1"/>
  <c r="M18" i="1"/>
  <c r="M52" i="1"/>
  <c r="M40" i="1"/>
  <c r="L40" i="1"/>
  <c r="M35" i="1"/>
  <c r="M31" i="1"/>
  <c r="M14" i="1"/>
  <c r="M91" i="1"/>
  <c r="M9" i="1"/>
  <c r="M73" i="1"/>
  <c r="J158" i="1"/>
  <c r="K158" i="1" s="1"/>
  <c r="L158" i="1" s="1"/>
  <c r="J96" i="1"/>
  <c r="K96" i="1" s="1"/>
  <c r="L96" i="1" s="1"/>
  <c r="L136" i="1"/>
  <c r="M136" i="1"/>
  <c r="J37" i="1"/>
  <c r="K37" i="1" s="1"/>
  <c r="M64" i="1"/>
  <c r="K88" i="1"/>
  <c r="L88" i="1" s="1"/>
  <c r="J111" i="1"/>
  <c r="K111" i="1" s="1"/>
  <c r="M113" i="1"/>
  <c r="M38" i="1" l="1"/>
  <c r="M96" i="1"/>
  <c r="M158" i="1"/>
  <c r="L111" i="1"/>
  <c r="E1" i="1" s="1"/>
  <c r="E2" i="1" s="1"/>
  <c r="E4" i="1" s="1"/>
  <c r="M111" i="1"/>
  <c r="L37" i="1"/>
  <c r="M37" i="1"/>
  <c r="M88" i="1"/>
</calcChain>
</file>

<file path=xl/sharedStrings.xml><?xml version="1.0" encoding="utf-8"?>
<sst xmlns="http://schemas.openxmlformats.org/spreadsheetml/2006/main" count="24" uniqueCount="24">
  <si>
    <t>Frequency</t>
  </si>
  <si>
    <t>Inductance</t>
  </si>
  <si>
    <t>Vin</t>
  </si>
  <si>
    <t>Duty</t>
  </si>
  <si>
    <t>Vout</t>
  </si>
  <si>
    <t>Ripple Current (A)</t>
  </si>
  <si>
    <t>Irms</t>
  </si>
  <si>
    <t>Imin</t>
  </si>
  <si>
    <t>Imax</t>
  </si>
  <si>
    <t>Pout</t>
  </si>
  <si>
    <t>Energy/Cycle</t>
  </si>
  <si>
    <t>Time On</t>
  </si>
  <si>
    <t>Idc</t>
  </si>
  <si>
    <t>Edc</t>
  </si>
  <si>
    <t>E Capacitor</t>
  </si>
  <si>
    <t>Ripple Voltage</t>
  </si>
  <si>
    <t>Capacitor</t>
  </si>
  <si>
    <t>Ein vs Eout</t>
  </si>
  <si>
    <t>Num 10uF @ 29V DC Bias</t>
  </si>
  <si>
    <t>Area of 1210 package</t>
  </si>
  <si>
    <t>Board Area (mm2)</t>
  </si>
  <si>
    <t>Capacitance (F)</t>
  </si>
  <si>
    <t>GCM32EC71H106KA03L</t>
  </si>
  <si>
    <t>Suitable 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</si>
</sst>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10"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15" formatCode="0.00E+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Ripple Current vs Duty Cycle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Sheet1!$C$6</c:f>
              <c:strCache>
                <c:ptCount val="1"/>
                <c:pt idx="0">
                  <c:v>Ripple Current (A)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Sheet1!$C$7:$C$206</c:f>
              <c:numCache>
                <c:formatCode>General</c:formatCode>
                <c:ptCount val="200"/>
                <c:pt idx="0">
                  <c:v>0.12188750000000001</c:v>
                </c:pt>
                <c:pt idx="1">
                  <c:v>0.24254999999999999</c:v>
                </c:pt>
                <c:pt idx="2">
                  <c:v>0.36198749999999996</c:v>
                </c:pt>
                <c:pt idx="3">
                  <c:v>0.48020000000000002</c:v>
                </c:pt>
                <c:pt idx="4">
                  <c:v>0.59718750000000009</c:v>
                </c:pt>
                <c:pt idx="5">
                  <c:v>0.71294999999999986</c:v>
                </c:pt>
                <c:pt idx="6">
                  <c:v>0.82748750000000004</c:v>
                </c:pt>
                <c:pt idx="7">
                  <c:v>0.94079999999999997</c:v>
                </c:pt>
                <c:pt idx="8">
                  <c:v>1.0528875</c:v>
                </c:pt>
                <c:pt idx="9">
                  <c:v>1.1637500000000001</c:v>
                </c:pt>
                <c:pt idx="10">
                  <c:v>1.2733874999999999</c:v>
                </c:pt>
                <c:pt idx="11">
                  <c:v>1.3817999999999999</c:v>
                </c:pt>
                <c:pt idx="12">
                  <c:v>1.4889874999999999</c:v>
                </c:pt>
                <c:pt idx="13">
                  <c:v>1.5949500000000003</c:v>
                </c:pt>
                <c:pt idx="14">
                  <c:v>1.6996875</c:v>
                </c:pt>
                <c:pt idx="15">
                  <c:v>1.8032000000000001</c:v>
                </c:pt>
                <c:pt idx="16">
                  <c:v>1.9054875000000002</c:v>
                </c:pt>
                <c:pt idx="17">
                  <c:v>2.0065499999999998</c:v>
                </c:pt>
                <c:pt idx="18">
                  <c:v>2.1063874999999999</c:v>
                </c:pt>
                <c:pt idx="19">
                  <c:v>2.2050000000000001</c:v>
                </c:pt>
                <c:pt idx="20">
                  <c:v>2.3023875</c:v>
                </c:pt>
                <c:pt idx="21">
                  <c:v>2.3985499999999997</c:v>
                </c:pt>
                <c:pt idx="22">
                  <c:v>2.4934875000000001</c:v>
                </c:pt>
                <c:pt idx="23">
                  <c:v>2.5872000000000002</c:v>
                </c:pt>
                <c:pt idx="24">
                  <c:v>2.6796875</c:v>
                </c:pt>
                <c:pt idx="25">
                  <c:v>2.7709500000000005</c:v>
                </c:pt>
                <c:pt idx="26">
                  <c:v>2.8609875000000002</c:v>
                </c:pt>
                <c:pt idx="27">
                  <c:v>2.9498000000000002</c:v>
                </c:pt>
                <c:pt idx="28">
                  <c:v>3.0373874999999999</c:v>
                </c:pt>
                <c:pt idx="29">
                  <c:v>3.1237499999999998</c:v>
                </c:pt>
                <c:pt idx="30">
                  <c:v>3.2088874999999999</c:v>
                </c:pt>
                <c:pt idx="31">
                  <c:v>3.2927999999999997</c:v>
                </c:pt>
                <c:pt idx="32">
                  <c:v>3.3754875000000002</c:v>
                </c:pt>
                <c:pt idx="33">
                  <c:v>3.4569500000000004</c:v>
                </c:pt>
                <c:pt idx="34">
                  <c:v>3.5371874999999995</c:v>
                </c:pt>
                <c:pt idx="35">
                  <c:v>3.6161999999999992</c:v>
                </c:pt>
                <c:pt idx="36">
                  <c:v>3.6939875</c:v>
                </c:pt>
                <c:pt idx="37">
                  <c:v>3.7705500000000001</c:v>
                </c:pt>
                <c:pt idx="38">
                  <c:v>3.8458874999999999</c:v>
                </c:pt>
                <c:pt idx="39">
                  <c:v>3.92</c:v>
                </c:pt>
                <c:pt idx="40">
                  <c:v>3.9928874999999997</c:v>
                </c:pt>
                <c:pt idx="41">
                  <c:v>4.0645499999999997</c:v>
                </c:pt>
                <c:pt idx="42">
                  <c:v>4.1349875000000003</c:v>
                </c:pt>
                <c:pt idx="43">
                  <c:v>4.2041999999999993</c:v>
                </c:pt>
                <c:pt idx="44">
                  <c:v>4.2721875000000002</c:v>
                </c:pt>
                <c:pt idx="45">
                  <c:v>4.3389500000000005</c:v>
                </c:pt>
                <c:pt idx="46">
                  <c:v>4.4044875000000001</c:v>
                </c:pt>
                <c:pt idx="47">
                  <c:v>4.4688000000000008</c:v>
                </c:pt>
                <c:pt idx="48">
                  <c:v>4.5318874999999998</c:v>
                </c:pt>
                <c:pt idx="49">
                  <c:v>4.59375</c:v>
                </c:pt>
                <c:pt idx="50">
                  <c:v>4.6543875000000003</c:v>
                </c:pt>
                <c:pt idx="51">
                  <c:v>4.7138</c:v>
                </c:pt>
                <c:pt idx="52">
                  <c:v>4.7719874999999998</c:v>
                </c:pt>
                <c:pt idx="53">
                  <c:v>4.8289499999999999</c:v>
                </c:pt>
                <c:pt idx="54">
                  <c:v>4.8846875000000001</c:v>
                </c:pt>
                <c:pt idx="55">
                  <c:v>4.9392000000000005</c:v>
                </c:pt>
                <c:pt idx="56">
                  <c:v>4.9924874999999993</c:v>
                </c:pt>
                <c:pt idx="57">
                  <c:v>5.0445500000000001</c:v>
                </c:pt>
                <c:pt idx="58">
                  <c:v>5.0953875000000002</c:v>
                </c:pt>
                <c:pt idx="59">
                  <c:v>5.1449999999999996</c:v>
                </c:pt>
                <c:pt idx="60">
                  <c:v>5.1933875</c:v>
                </c:pt>
                <c:pt idx="61">
                  <c:v>5.2405500000000007</c:v>
                </c:pt>
                <c:pt idx="62">
                  <c:v>5.2864874999999998</c:v>
                </c:pt>
                <c:pt idx="63">
                  <c:v>5.3311999999999999</c:v>
                </c:pt>
                <c:pt idx="64">
                  <c:v>5.3746875000000003</c:v>
                </c:pt>
                <c:pt idx="65">
                  <c:v>5.4169500000000008</c:v>
                </c:pt>
                <c:pt idx="66">
                  <c:v>5.4579874999999998</c:v>
                </c:pt>
                <c:pt idx="67">
                  <c:v>5.4977999999999998</c:v>
                </c:pt>
                <c:pt idx="68">
                  <c:v>5.5363874999999991</c:v>
                </c:pt>
                <c:pt idx="69">
                  <c:v>5.5737499999999995</c:v>
                </c:pt>
                <c:pt idx="70">
                  <c:v>5.6098875000000001</c:v>
                </c:pt>
                <c:pt idx="71">
                  <c:v>5.6448</c:v>
                </c:pt>
                <c:pt idx="72">
                  <c:v>5.6784874999999992</c:v>
                </c:pt>
                <c:pt idx="73">
                  <c:v>5.7109500000000004</c:v>
                </c:pt>
                <c:pt idx="74">
                  <c:v>5.7421875</c:v>
                </c:pt>
                <c:pt idx="75">
                  <c:v>5.7722000000000007</c:v>
                </c:pt>
                <c:pt idx="76">
                  <c:v>5.8009875000000006</c:v>
                </c:pt>
                <c:pt idx="77">
                  <c:v>5.8285499999999999</c:v>
                </c:pt>
                <c:pt idx="78">
                  <c:v>5.8548875000000002</c:v>
                </c:pt>
                <c:pt idx="79">
                  <c:v>5.8800000000000008</c:v>
                </c:pt>
                <c:pt idx="80">
                  <c:v>5.9038875000000006</c:v>
                </c:pt>
                <c:pt idx="81">
                  <c:v>5.9265499999999998</c:v>
                </c:pt>
                <c:pt idx="82">
                  <c:v>5.9479874999999991</c:v>
                </c:pt>
                <c:pt idx="83">
                  <c:v>5.9682000000000004</c:v>
                </c:pt>
                <c:pt idx="84">
                  <c:v>5.987187500000001</c:v>
                </c:pt>
                <c:pt idx="85">
                  <c:v>6.0049499999999991</c:v>
                </c:pt>
                <c:pt idx="86">
                  <c:v>6.0214874999999992</c:v>
                </c:pt>
                <c:pt idx="87">
                  <c:v>6.0367999999999995</c:v>
                </c:pt>
                <c:pt idx="88">
                  <c:v>6.0508875000000009</c:v>
                </c:pt>
                <c:pt idx="89">
                  <c:v>6.0637499999999998</c:v>
                </c:pt>
                <c:pt idx="90">
                  <c:v>6.0753874999999988</c:v>
                </c:pt>
                <c:pt idx="91">
                  <c:v>6.0857999999999999</c:v>
                </c:pt>
                <c:pt idx="92">
                  <c:v>6.0949875000000002</c:v>
                </c:pt>
                <c:pt idx="93">
                  <c:v>6.1029499999999999</c:v>
                </c:pt>
                <c:pt idx="94">
                  <c:v>6.1096874999999997</c:v>
                </c:pt>
                <c:pt idx="95">
                  <c:v>6.1151999999999997</c:v>
                </c:pt>
                <c:pt idx="96">
                  <c:v>6.1194875</c:v>
                </c:pt>
                <c:pt idx="97">
                  <c:v>6.1225500000000004</c:v>
                </c:pt>
                <c:pt idx="98">
                  <c:v>6.1243875000000001</c:v>
                </c:pt>
                <c:pt idx="99">
                  <c:v>6.125</c:v>
                </c:pt>
                <c:pt idx="100">
                  <c:v>6.1243875000000001</c:v>
                </c:pt>
                <c:pt idx="101">
                  <c:v>6.1225500000000004</c:v>
                </c:pt>
                <c:pt idx="102">
                  <c:v>6.1194875</c:v>
                </c:pt>
                <c:pt idx="103">
                  <c:v>6.1151999999999997</c:v>
                </c:pt>
                <c:pt idx="104">
                  <c:v>6.1096874999999997</c:v>
                </c:pt>
                <c:pt idx="105">
                  <c:v>6.1029499999999999</c:v>
                </c:pt>
                <c:pt idx="106">
                  <c:v>6.0949874999999993</c:v>
                </c:pt>
                <c:pt idx="107">
                  <c:v>6.0857999999999999</c:v>
                </c:pt>
                <c:pt idx="108">
                  <c:v>6.0753875000000006</c:v>
                </c:pt>
                <c:pt idx="109">
                  <c:v>6.0637499999999989</c:v>
                </c:pt>
                <c:pt idx="110">
                  <c:v>6.0508875</c:v>
                </c:pt>
                <c:pt idx="111">
                  <c:v>6.0367999999999995</c:v>
                </c:pt>
                <c:pt idx="112">
                  <c:v>6.0214875000000001</c:v>
                </c:pt>
                <c:pt idx="113">
                  <c:v>6.0049499999999991</c:v>
                </c:pt>
                <c:pt idx="114">
                  <c:v>5.9871875000000001</c:v>
                </c:pt>
                <c:pt idx="115">
                  <c:v>5.9681999999999995</c:v>
                </c:pt>
                <c:pt idx="116">
                  <c:v>5.9479875</c:v>
                </c:pt>
                <c:pt idx="117">
                  <c:v>5.9265500000000007</c:v>
                </c:pt>
                <c:pt idx="118">
                  <c:v>5.9038874999999997</c:v>
                </c:pt>
                <c:pt idx="119">
                  <c:v>5.8800000000000008</c:v>
                </c:pt>
                <c:pt idx="120">
                  <c:v>5.8548875000000002</c:v>
                </c:pt>
                <c:pt idx="121">
                  <c:v>5.8285500000000008</c:v>
                </c:pt>
                <c:pt idx="122">
                  <c:v>5.8009874999999997</c:v>
                </c:pt>
                <c:pt idx="123">
                  <c:v>5.7721999999999998</c:v>
                </c:pt>
                <c:pt idx="124">
                  <c:v>5.7421874999999991</c:v>
                </c:pt>
                <c:pt idx="125">
                  <c:v>5.7109500000000004</c:v>
                </c:pt>
                <c:pt idx="126">
                  <c:v>5.6784874999999992</c:v>
                </c:pt>
                <c:pt idx="127">
                  <c:v>5.6448</c:v>
                </c:pt>
                <c:pt idx="128">
                  <c:v>5.6098874999999984</c:v>
                </c:pt>
                <c:pt idx="129">
                  <c:v>5.5737499999999995</c:v>
                </c:pt>
                <c:pt idx="130">
                  <c:v>5.5363874999999991</c:v>
                </c:pt>
                <c:pt idx="131">
                  <c:v>5.4977999999999998</c:v>
                </c:pt>
                <c:pt idx="132">
                  <c:v>5.4579875000000007</c:v>
                </c:pt>
                <c:pt idx="133">
                  <c:v>5.4169499999999999</c:v>
                </c:pt>
                <c:pt idx="134">
                  <c:v>5.3746875000000003</c:v>
                </c:pt>
                <c:pt idx="135">
                  <c:v>5.3311999999999991</c:v>
                </c:pt>
                <c:pt idx="136">
                  <c:v>5.2864874999999998</c:v>
                </c:pt>
                <c:pt idx="137">
                  <c:v>5.2405500000000007</c:v>
                </c:pt>
                <c:pt idx="138">
                  <c:v>5.1933875000000009</c:v>
                </c:pt>
                <c:pt idx="139">
                  <c:v>5.1449999999999996</c:v>
                </c:pt>
                <c:pt idx="140">
                  <c:v>5.0953875000000011</c:v>
                </c:pt>
                <c:pt idx="141">
                  <c:v>5.0445500000000001</c:v>
                </c:pt>
                <c:pt idx="142">
                  <c:v>4.9924875000000011</c:v>
                </c:pt>
                <c:pt idx="143">
                  <c:v>4.9391999999999996</c:v>
                </c:pt>
                <c:pt idx="144">
                  <c:v>4.8846875000000001</c:v>
                </c:pt>
                <c:pt idx="145">
                  <c:v>4.8289499999999999</c:v>
                </c:pt>
                <c:pt idx="146">
                  <c:v>4.7719875000000007</c:v>
                </c:pt>
                <c:pt idx="147">
                  <c:v>4.7137999999999991</c:v>
                </c:pt>
                <c:pt idx="148">
                  <c:v>4.6543875000000003</c:v>
                </c:pt>
                <c:pt idx="149">
                  <c:v>4.5937500000000009</c:v>
                </c:pt>
                <c:pt idx="150">
                  <c:v>4.5318874999999998</c:v>
                </c:pt>
                <c:pt idx="151">
                  <c:v>4.4688000000000008</c:v>
                </c:pt>
                <c:pt idx="152">
                  <c:v>4.4044874999999992</c:v>
                </c:pt>
                <c:pt idx="153">
                  <c:v>4.3389500000000005</c:v>
                </c:pt>
                <c:pt idx="154">
                  <c:v>4.2721874999999994</c:v>
                </c:pt>
                <c:pt idx="155">
                  <c:v>4.2042000000000002</c:v>
                </c:pt>
                <c:pt idx="156">
                  <c:v>4.1349874999999994</c:v>
                </c:pt>
                <c:pt idx="157">
                  <c:v>4.0645500000000006</c:v>
                </c:pt>
                <c:pt idx="158">
                  <c:v>3.9928874999999984</c:v>
                </c:pt>
                <c:pt idx="159">
                  <c:v>3.92</c:v>
                </c:pt>
                <c:pt idx="160">
                  <c:v>3.8458874999999981</c:v>
                </c:pt>
                <c:pt idx="161">
                  <c:v>3.7705499999999992</c:v>
                </c:pt>
                <c:pt idx="162">
                  <c:v>3.6939875</c:v>
                </c:pt>
                <c:pt idx="163">
                  <c:v>3.6162000000000005</c:v>
                </c:pt>
                <c:pt idx="164">
                  <c:v>3.5371874999999995</c:v>
                </c:pt>
                <c:pt idx="165">
                  <c:v>3.4569500000000009</c:v>
                </c:pt>
                <c:pt idx="166">
                  <c:v>3.3754874999999993</c:v>
                </c:pt>
                <c:pt idx="167">
                  <c:v>3.2928000000000002</c:v>
                </c:pt>
                <c:pt idx="168">
                  <c:v>3.2088875000000012</c:v>
                </c:pt>
                <c:pt idx="169">
                  <c:v>3.1237500000000002</c:v>
                </c:pt>
                <c:pt idx="170">
                  <c:v>3.0373875000000012</c:v>
                </c:pt>
                <c:pt idx="171">
                  <c:v>2.9497999999999998</c:v>
                </c:pt>
                <c:pt idx="172">
                  <c:v>2.8609875000000007</c:v>
                </c:pt>
                <c:pt idx="173">
                  <c:v>2.7709499999999996</c:v>
                </c:pt>
                <c:pt idx="174">
                  <c:v>2.6796875000000004</c:v>
                </c:pt>
                <c:pt idx="175">
                  <c:v>2.5871999999999993</c:v>
                </c:pt>
                <c:pt idx="176">
                  <c:v>2.4934875000000001</c:v>
                </c:pt>
                <c:pt idx="177">
                  <c:v>2.3985499999999988</c:v>
                </c:pt>
                <c:pt idx="178">
                  <c:v>2.3023875</c:v>
                </c:pt>
                <c:pt idx="179">
                  <c:v>2.2049999999999987</c:v>
                </c:pt>
                <c:pt idx="180">
                  <c:v>2.1063874999999994</c:v>
                </c:pt>
                <c:pt idx="181">
                  <c:v>2.0065499999999981</c:v>
                </c:pt>
                <c:pt idx="182">
                  <c:v>1.9054874999999991</c:v>
                </c:pt>
                <c:pt idx="183">
                  <c:v>1.8032000000000004</c:v>
                </c:pt>
                <c:pt idx="184">
                  <c:v>1.6996874999999989</c:v>
                </c:pt>
                <c:pt idx="185">
                  <c:v>1.5949500000000001</c:v>
                </c:pt>
                <c:pt idx="186">
                  <c:v>1.4889874999999984</c:v>
                </c:pt>
                <c:pt idx="187">
                  <c:v>1.3818000000000021</c:v>
                </c:pt>
                <c:pt idx="188">
                  <c:v>1.2733875000000006</c:v>
                </c:pt>
                <c:pt idx="189">
                  <c:v>1.1637500000000021</c:v>
                </c:pt>
                <c:pt idx="190">
                  <c:v>1.0528875000000002</c:v>
                </c:pt>
                <c:pt idx="191">
                  <c:v>0.94080000000000152</c:v>
                </c:pt>
                <c:pt idx="192">
                  <c:v>0.82748749999999993</c:v>
                </c:pt>
                <c:pt idx="193">
                  <c:v>0.71295000000000119</c:v>
                </c:pt>
                <c:pt idx="194">
                  <c:v>0.59718749999999954</c:v>
                </c:pt>
                <c:pt idx="195">
                  <c:v>0.48020000000000085</c:v>
                </c:pt>
                <c:pt idx="196">
                  <c:v>0.36198749999999913</c:v>
                </c:pt>
                <c:pt idx="197">
                  <c:v>0.2425500000000004</c:v>
                </c:pt>
                <c:pt idx="198">
                  <c:v>0.12188749999999873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35-4BA9-9D26-A38D2109CBB3}"/>
            </c:ext>
          </c:extLst>
        </c:ser>
        <c:ser>
          <c:idx val="1"/>
          <c:order val="1"/>
          <c:tx>
            <c:strRef>
              <c:f>Sheet1!$E$6</c:f>
              <c:strCache>
                <c:ptCount val="1"/>
                <c:pt idx="0">
                  <c:v>Imax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Sheet1!$E$7:$E$206</c:f>
              <c:numCache>
                <c:formatCode>General</c:formatCode>
                <c:ptCount val="200"/>
                <c:pt idx="0">
                  <c:v>30.1218875</c:v>
                </c:pt>
                <c:pt idx="1">
                  <c:v>30.242550000000001</c:v>
                </c:pt>
                <c:pt idx="2">
                  <c:v>30.361987500000001</c:v>
                </c:pt>
                <c:pt idx="3">
                  <c:v>30.4802</c:v>
                </c:pt>
                <c:pt idx="4">
                  <c:v>30.5971875</c:v>
                </c:pt>
                <c:pt idx="5">
                  <c:v>30.712949999999999</c:v>
                </c:pt>
                <c:pt idx="6">
                  <c:v>30.8274875</c:v>
                </c:pt>
                <c:pt idx="7">
                  <c:v>30.940799999999999</c:v>
                </c:pt>
                <c:pt idx="8">
                  <c:v>31.052887500000001</c:v>
                </c:pt>
                <c:pt idx="9">
                  <c:v>31.16375</c:v>
                </c:pt>
                <c:pt idx="10">
                  <c:v>31.273387499999998</c:v>
                </c:pt>
                <c:pt idx="11">
                  <c:v>31.381799999999998</c:v>
                </c:pt>
                <c:pt idx="12">
                  <c:v>31.4889875</c:v>
                </c:pt>
                <c:pt idx="13">
                  <c:v>31.594950000000001</c:v>
                </c:pt>
                <c:pt idx="14">
                  <c:v>31.6996875</c:v>
                </c:pt>
                <c:pt idx="15">
                  <c:v>31.8032</c:v>
                </c:pt>
                <c:pt idx="16">
                  <c:v>31.9054875</c:v>
                </c:pt>
                <c:pt idx="17">
                  <c:v>32.006549999999997</c:v>
                </c:pt>
                <c:pt idx="18">
                  <c:v>32.106387499999997</c:v>
                </c:pt>
                <c:pt idx="19">
                  <c:v>32.204999999999998</c:v>
                </c:pt>
                <c:pt idx="20">
                  <c:v>32.302387500000002</c:v>
                </c:pt>
                <c:pt idx="21">
                  <c:v>32.39855</c:v>
                </c:pt>
                <c:pt idx="22">
                  <c:v>32.493487500000001</c:v>
                </c:pt>
                <c:pt idx="23">
                  <c:v>32.587200000000003</c:v>
                </c:pt>
                <c:pt idx="24">
                  <c:v>32.6796875</c:v>
                </c:pt>
                <c:pt idx="25">
                  <c:v>32.770949999999999</c:v>
                </c:pt>
                <c:pt idx="26">
                  <c:v>32.8609875</c:v>
                </c:pt>
                <c:pt idx="27">
                  <c:v>32.949800000000003</c:v>
                </c:pt>
                <c:pt idx="28">
                  <c:v>33.037387500000001</c:v>
                </c:pt>
                <c:pt idx="29">
                  <c:v>33.123750000000001</c:v>
                </c:pt>
                <c:pt idx="30">
                  <c:v>33.208887500000003</c:v>
                </c:pt>
                <c:pt idx="31">
                  <c:v>33.2928</c:v>
                </c:pt>
                <c:pt idx="32">
                  <c:v>33.375487499999998</c:v>
                </c:pt>
                <c:pt idx="33">
                  <c:v>33.456949999999999</c:v>
                </c:pt>
                <c:pt idx="34">
                  <c:v>33.537187500000002</c:v>
                </c:pt>
                <c:pt idx="35">
                  <c:v>33.616199999999999</c:v>
                </c:pt>
                <c:pt idx="36">
                  <c:v>33.693987499999999</c:v>
                </c:pt>
                <c:pt idx="37">
                  <c:v>33.77055</c:v>
                </c:pt>
                <c:pt idx="38">
                  <c:v>33.845887500000003</c:v>
                </c:pt>
                <c:pt idx="39">
                  <c:v>33.92</c:v>
                </c:pt>
                <c:pt idx="40">
                  <c:v>33.992887500000002</c:v>
                </c:pt>
                <c:pt idx="41">
                  <c:v>34.064549999999997</c:v>
                </c:pt>
                <c:pt idx="42">
                  <c:v>34.134987500000001</c:v>
                </c:pt>
                <c:pt idx="43">
                  <c:v>34.2042</c:v>
                </c:pt>
                <c:pt idx="44">
                  <c:v>34.272187500000001</c:v>
                </c:pt>
                <c:pt idx="45">
                  <c:v>34.338949999999997</c:v>
                </c:pt>
                <c:pt idx="46">
                  <c:v>34.404487500000002</c:v>
                </c:pt>
                <c:pt idx="47">
                  <c:v>34.468800000000002</c:v>
                </c:pt>
                <c:pt idx="48">
                  <c:v>34.531887499999996</c:v>
                </c:pt>
                <c:pt idx="49">
                  <c:v>34.59375</c:v>
                </c:pt>
                <c:pt idx="50">
                  <c:v>34.654387499999999</c:v>
                </c:pt>
                <c:pt idx="51">
                  <c:v>34.713799999999999</c:v>
                </c:pt>
                <c:pt idx="52">
                  <c:v>34.771987500000002</c:v>
                </c:pt>
                <c:pt idx="53">
                  <c:v>34.828949999999999</c:v>
                </c:pt>
                <c:pt idx="54">
                  <c:v>34.884687499999998</c:v>
                </c:pt>
                <c:pt idx="55">
                  <c:v>34.9392</c:v>
                </c:pt>
                <c:pt idx="56">
                  <c:v>34.992487499999996</c:v>
                </c:pt>
                <c:pt idx="57">
                  <c:v>35.044550000000001</c:v>
                </c:pt>
                <c:pt idx="58">
                  <c:v>35.095387500000001</c:v>
                </c:pt>
                <c:pt idx="59">
                  <c:v>35.144999999999996</c:v>
                </c:pt>
                <c:pt idx="60">
                  <c:v>35.1933875</c:v>
                </c:pt>
                <c:pt idx="61">
                  <c:v>35.240549999999999</c:v>
                </c:pt>
                <c:pt idx="62">
                  <c:v>35.2864875</c:v>
                </c:pt>
                <c:pt idx="63">
                  <c:v>35.331200000000003</c:v>
                </c:pt>
                <c:pt idx="64">
                  <c:v>35.3746875</c:v>
                </c:pt>
                <c:pt idx="65">
                  <c:v>35.41695</c:v>
                </c:pt>
                <c:pt idx="66">
                  <c:v>35.457987500000002</c:v>
                </c:pt>
                <c:pt idx="67">
                  <c:v>35.497799999999998</c:v>
                </c:pt>
                <c:pt idx="68">
                  <c:v>35.536387499999996</c:v>
                </c:pt>
                <c:pt idx="69">
                  <c:v>35.573749999999997</c:v>
                </c:pt>
                <c:pt idx="70">
                  <c:v>35.609887499999999</c:v>
                </c:pt>
                <c:pt idx="71">
                  <c:v>35.644800000000004</c:v>
                </c:pt>
                <c:pt idx="72">
                  <c:v>35.678487500000003</c:v>
                </c:pt>
                <c:pt idx="73">
                  <c:v>35.710949999999997</c:v>
                </c:pt>
                <c:pt idx="74">
                  <c:v>35.7421875</c:v>
                </c:pt>
                <c:pt idx="75">
                  <c:v>35.772199999999998</c:v>
                </c:pt>
                <c:pt idx="76">
                  <c:v>35.800987499999998</c:v>
                </c:pt>
                <c:pt idx="77">
                  <c:v>35.82855</c:v>
                </c:pt>
                <c:pt idx="78">
                  <c:v>35.854887500000004</c:v>
                </c:pt>
                <c:pt idx="79">
                  <c:v>35.880000000000003</c:v>
                </c:pt>
                <c:pt idx="80">
                  <c:v>35.903887500000003</c:v>
                </c:pt>
                <c:pt idx="81">
                  <c:v>35.926549999999999</c:v>
                </c:pt>
                <c:pt idx="82">
                  <c:v>35.947987499999996</c:v>
                </c:pt>
                <c:pt idx="83">
                  <c:v>35.968200000000003</c:v>
                </c:pt>
                <c:pt idx="84">
                  <c:v>35.987187500000005</c:v>
                </c:pt>
                <c:pt idx="85">
                  <c:v>36.004950000000001</c:v>
                </c:pt>
                <c:pt idx="86">
                  <c:v>36.021487499999999</c:v>
                </c:pt>
                <c:pt idx="87">
                  <c:v>36.036799999999999</c:v>
                </c:pt>
                <c:pt idx="88">
                  <c:v>36.050887500000002</c:v>
                </c:pt>
                <c:pt idx="89">
                  <c:v>36.063749999999999</c:v>
                </c:pt>
                <c:pt idx="90">
                  <c:v>36.075387499999998</c:v>
                </c:pt>
                <c:pt idx="91">
                  <c:v>36.085799999999999</c:v>
                </c:pt>
                <c:pt idx="92">
                  <c:v>36.094987500000002</c:v>
                </c:pt>
                <c:pt idx="93">
                  <c:v>36.10295</c:v>
                </c:pt>
                <c:pt idx="94">
                  <c:v>36.1096875</c:v>
                </c:pt>
                <c:pt idx="95">
                  <c:v>36.115200000000002</c:v>
                </c:pt>
                <c:pt idx="96">
                  <c:v>36.119487499999998</c:v>
                </c:pt>
                <c:pt idx="97">
                  <c:v>36.122550000000004</c:v>
                </c:pt>
                <c:pt idx="98">
                  <c:v>36.124387499999997</c:v>
                </c:pt>
                <c:pt idx="99">
                  <c:v>36.125</c:v>
                </c:pt>
                <c:pt idx="100">
                  <c:v>36.124387499999997</c:v>
                </c:pt>
                <c:pt idx="101">
                  <c:v>36.122550000000004</c:v>
                </c:pt>
                <c:pt idx="102">
                  <c:v>36.119487499999998</c:v>
                </c:pt>
                <c:pt idx="103">
                  <c:v>36.115200000000002</c:v>
                </c:pt>
                <c:pt idx="104">
                  <c:v>36.1096875</c:v>
                </c:pt>
                <c:pt idx="105">
                  <c:v>36.10295</c:v>
                </c:pt>
                <c:pt idx="106">
                  <c:v>36.094987500000002</c:v>
                </c:pt>
                <c:pt idx="107">
                  <c:v>36.085799999999999</c:v>
                </c:pt>
                <c:pt idx="108">
                  <c:v>36.075387499999998</c:v>
                </c:pt>
                <c:pt idx="109">
                  <c:v>36.063749999999999</c:v>
                </c:pt>
                <c:pt idx="110">
                  <c:v>36.050887500000002</c:v>
                </c:pt>
                <c:pt idx="111">
                  <c:v>36.036799999999999</c:v>
                </c:pt>
                <c:pt idx="112">
                  <c:v>36.021487499999999</c:v>
                </c:pt>
                <c:pt idx="113">
                  <c:v>36.004950000000001</c:v>
                </c:pt>
                <c:pt idx="114">
                  <c:v>35.987187499999997</c:v>
                </c:pt>
                <c:pt idx="115">
                  <c:v>35.968199999999996</c:v>
                </c:pt>
                <c:pt idx="116">
                  <c:v>35.947987499999996</c:v>
                </c:pt>
                <c:pt idx="117">
                  <c:v>35.926549999999999</c:v>
                </c:pt>
                <c:pt idx="118">
                  <c:v>35.903887499999996</c:v>
                </c:pt>
                <c:pt idx="119">
                  <c:v>35.880000000000003</c:v>
                </c:pt>
                <c:pt idx="120">
                  <c:v>35.854887500000004</c:v>
                </c:pt>
                <c:pt idx="121">
                  <c:v>35.82855</c:v>
                </c:pt>
                <c:pt idx="122">
                  <c:v>35.800987499999998</c:v>
                </c:pt>
                <c:pt idx="123">
                  <c:v>35.772199999999998</c:v>
                </c:pt>
                <c:pt idx="124">
                  <c:v>35.7421875</c:v>
                </c:pt>
                <c:pt idx="125">
                  <c:v>35.710949999999997</c:v>
                </c:pt>
                <c:pt idx="126">
                  <c:v>35.678487500000003</c:v>
                </c:pt>
                <c:pt idx="127">
                  <c:v>35.644800000000004</c:v>
                </c:pt>
                <c:pt idx="128">
                  <c:v>35.609887499999999</c:v>
                </c:pt>
                <c:pt idx="129">
                  <c:v>35.573749999999997</c:v>
                </c:pt>
                <c:pt idx="130">
                  <c:v>35.536387499999996</c:v>
                </c:pt>
                <c:pt idx="131">
                  <c:v>35.497799999999998</c:v>
                </c:pt>
                <c:pt idx="132">
                  <c:v>35.457987500000002</c:v>
                </c:pt>
                <c:pt idx="133">
                  <c:v>35.41695</c:v>
                </c:pt>
                <c:pt idx="134">
                  <c:v>35.3746875</c:v>
                </c:pt>
                <c:pt idx="135">
                  <c:v>35.331199999999995</c:v>
                </c:pt>
                <c:pt idx="136">
                  <c:v>35.2864875</c:v>
                </c:pt>
                <c:pt idx="137">
                  <c:v>35.240549999999999</c:v>
                </c:pt>
                <c:pt idx="138">
                  <c:v>35.1933875</c:v>
                </c:pt>
                <c:pt idx="139">
                  <c:v>35.144999999999996</c:v>
                </c:pt>
                <c:pt idx="140">
                  <c:v>35.095387500000001</c:v>
                </c:pt>
                <c:pt idx="141">
                  <c:v>35.044550000000001</c:v>
                </c:pt>
                <c:pt idx="142">
                  <c:v>34.992487500000003</c:v>
                </c:pt>
                <c:pt idx="143">
                  <c:v>34.9392</c:v>
                </c:pt>
                <c:pt idx="144">
                  <c:v>34.884687499999998</c:v>
                </c:pt>
                <c:pt idx="145">
                  <c:v>34.828949999999999</c:v>
                </c:pt>
                <c:pt idx="146">
                  <c:v>34.771987500000002</c:v>
                </c:pt>
                <c:pt idx="147">
                  <c:v>34.713799999999999</c:v>
                </c:pt>
                <c:pt idx="148">
                  <c:v>34.654387499999999</c:v>
                </c:pt>
                <c:pt idx="149">
                  <c:v>34.59375</c:v>
                </c:pt>
                <c:pt idx="150">
                  <c:v>34.531887499999996</c:v>
                </c:pt>
                <c:pt idx="151">
                  <c:v>34.468800000000002</c:v>
                </c:pt>
                <c:pt idx="152">
                  <c:v>34.404487500000002</c:v>
                </c:pt>
                <c:pt idx="153">
                  <c:v>34.338949999999997</c:v>
                </c:pt>
                <c:pt idx="154">
                  <c:v>34.272187500000001</c:v>
                </c:pt>
                <c:pt idx="155">
                  <c:v>34.2042</c:v>
                </c:pt>
                <c:pt idx="156">
                  <c:v>34.134987500000001</c:v>
                </c:pt>
                <c:pt idx="157">
                  <c:v>34.064549999999997</c:v>
                </c:pt>
                <c:pt idx="158">
                  <c:v>33.992887499999995</c:v>
                </c:pt>
                <c:pt idx="159">
                  <c:v>33.92</c:v>
                </c:pt>
                <c:pt idx="160">
                  <c:v>33.845887499999996</c:v>
                </c:pt>
                <c:pt idx="161">
                  <c:v>33.77055</c:v>
                </c:pt>
                <c:pt idx="162">
                  <c:v>33.693987499999999</c:v>
                </c:pt>
                <c:pt idx="163">
                  <c:v>33.616199999999999</c:v>
                </c:pt>
                <c:pt idx="164">
                  <c:v>33.537187500000002</c:v>
                </c:pt>
                <c:pt idx="165">
                  <c:v>33.456949999999999</c:v>
                </c:pt>
                <c:pt idx="166">
                  <c:v>33.375487499999998</c:v>
                </c:pt>
                <c:pt idx="167">
                  <c:v>33.2928</c:v>
                </c:pt>
                <c:pt idx="168">
                  <c:v>33.208887500000003</c:v>
                </c:pt>
                <c:pt idx="169">
                  <c:v>33.123750000000001</c:v>
                </c:pt>
                <c:pt idx="170">
                  <c:v>33.037387500000001</c:v>
                </c:pt>
                <c:pt idx="171">
                  <c:v>32.949799999999996</c:v>
                </c:pt>
                <c:pt idx="172">
                  <c:v>32.8609875</c:v>
                </c:pt>
                <c:pt idx="173">
                  <c:v>32.770949999999999</c:v>
                </c:pt>
                <c:pt idx="174">
                  <c:v>32.6796875</c:v>
                </c:pt>
                <c:pt idx="175">
                  <c:v>32.587199999999996</c:v>
                </c:pt>
                <c:pt idx="176">
                  <c:v>32.493487500000001</c:v>
                </c:pt>
                <c:pt idx="177">
                  <c:v>32.39855</c:v>
                </c:pt>
                <c:pt idx="178">
                  <c:v>32.302387500000002</c:v>
                </c:pt>
                <c:pt idx="179">
                  <c:v>32.204999999999998</c:v>
                </c:pt>
                <c:pt idx="180">
                  <c:v>32.106387499999997</c:v>
                </c:pt>
                <c:pt idx="181">
                  <c:v>32.006549999999997</c:v>
                </c:pt>
                <c:pt idx="182">
                  <c:v>31.9054875</c:v>
                </c:pt>
                <c:pt idx="183">
                  <c:v>31.8032</c:v>
                </c:pt>
                <c:pt idx="184">
                  <c:v>31.6996875</c:v>
                </c:pt>
                <c:pt idx="185">
                  <c:v>31.594950000000001</c:v>
                </c:pt>
                <c:pt idx="186">
                  <c:v>31.488987499999997</c:v>
                </c:pt>
                <c:pt idx="187">
                  <c:v>31.381800000000002</c:v>
                </c:pt>
                <c:pt idx="188">
                  <c:v>31.273387500000002</c:v>
                </c:pt>
                <c:pt idx="189">
                  <c:v>31.16375</c:v>
                </c:pt>
                <c:pt idx="190">
                  <c:v>31.052887500000001</c:v>
                </c:pt>
                <c:pt idx="191">
                  <c:v>30.940800000000003</c:v>
                </c:pt>
                <c:pt idx="192">
                  <c:v>30.8274875</c:v>
                </c:pt>
                <c:pt idx="193">
                  <c:v>30.712950000000003</c:v>
                </c:pt>
                <c:pt idx="194">
                  <c:v>30.5971875</c:v>
                </c:pt>
                <c:pt idx="195">
                  <c:v>30.4802</c:v>
                </c:pt>
                <c:pt idx="196">
                  <c:v>30.361987499999998</c:v>
                </c:pt>
                <c:pt idx="197">
                  <c:v>30.242550000000001</c:v>
                </c:pt>
                <c:pt idx="198">
                  <c:v>30.1218875</c:v>
                </c:pt>
                <c:pt idx="199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35-4BA9-9D26-A38D2109CBB3}"/>
            </c:ext>
          </c:extLst>
        </c:ser>
        <c:ser>
          <c:idx val="2"/>
          <c:order val="2"/>
          <c:tx>
            <c:strRef>
              <c:f>Sheet1!$D$6</c:f>
              <c:strCache>
                <c:ptCount val="1"/>
                <c:pt idx="0">
                  <c:v>Imin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Sheet1!$D$7:$D$206</c:f>
              <c:numCache>
                <c:formatCode>General</c:formatCode>
                <c:ptCount val="200"/>
                <c:pt idx="0">
                  <c:v>29.8781125</c:v>
                </c:pt>
                <c:pt idx="1">
                  <c:v>29.757449999999999</c:v>
                </c:pt>
                <c:pt idx="2">
                  <c:v>29.638012499999999</c:v>
                </c:pt>
                <c:pt idx="3">
                  <c:v>29.5198</c:v>
                </c:pt>
                <c:pt idx="4">
                  <c:v>29.4028125</c:v>
                </c:pt>
                <c:pt idx="5">
                  <c:v>29.287050000000001</c:v>
                </c:pt>
                <c:pt idx="6">
                  <c:v>29.1725125</c:v>
                </c:pt>
                <c:pt idx="7">
                  <c:v>29.059200000000001</c:v>
                </c:pt>
                <c:pt idx="8">
                  <c:v>28.947112499999999</c:v>
                </c:pt>
                <c:pt idx="9">
                  <c:v>28.83625</c:v>
                </c:pt>
                <c:pt idx="10">
                  <c:v>28.726612500000002</c:v>
                </c:pt>
                <c:pt idx="11">
                  <c:v>28.618200000000002</c:v>
                </c:pt>
                <c:pt idx="12">
                  <c:v>28.5110125</c:v>
                </c:pt>
                <c:pt idx="13">
                  <c:v>28.405049999999999</c:v>
                </c:pt>
                <c:pt idx="14">
                  <c:v>28.3003125</c:v>
                </c:pt>
                <c:pt idx="15">
                  <c:v>28.1968</c:v>
                </c:pt>
                <c:pt idx="16">
                  <c:v>28.0945125</c:v>
                </c:pt>
                <c:pt idx="17">
                  <c:v>27.993449999999999</c:v>
                </c:pt>
                <c:pt idx="18">
                  <c:v>27.8936125</c:v>
                </c:pt>
                <c:pt idx="19">
                  <c:v>27.795000000000002</c:v>
                </c:pt>
                <c:pt idx="20">
                  <c:v>27.697612499999998</c:v>
                </c:pt>
                <c:pt idx="21">
                  <c:v>27.60145</c:v>
                </c:pt>
                <c:pt idx="22">
                  <c:v>27.506512499999999</c:v>
                </c:pt>
                <c:pt idx="23">
                  <c:v>27.412800000000001</c:v>
                </c:pt>
                <c:pt idx="24">
                  <c:v>27.3203125</c:v>
                </c:pt>
                <c:pt idx="25">
                  <c:v>27.229050000000001</c:v>
                </c:pt>
                <c:pt idx="26">
                  <c:v>27.1390125</c:v>
                </c:pt>
                <c:pt idx="27">
                  <c:v>27.0502</c:v>
                </c:pt>
                <c:pt idx="28">
                  <c:v>26.962612499999999</c:v>
                </c:pt>
                <c:pt idx="29">
                  <c:v>26.876249999999999</c:v>
                </c:pt>
                <c:pt idx="30">
                  <c:v>26.791112500000001</c:v>
                </c:pt>
                <c:pt idx="31">
                  <c:v>26.7072</c:v>
                </c:pt>
                <c:pt idx="32">
                  <c:v>26.624512500000002</c:v>
                </c:pt>
                <c:pt idx="33">
                  <c:v>26.543050000000001</c:v>
                </c:pt>
                <c:pt idx="34">
                  <c:v>26.462812500000002</c:v>
                </c:pt>
                <c:pt idx="35">
                  <c:v>26.383800000000001</c:v>
                </c:pt>
                <c:pt idx="36">
                  <c:v>26.306012500000001</c:v>
                </c:pt>
                <c:pt idx="37">
                  <c:v>26.22945</c:v>
                </c:pt>
                <c:pt idx="38">
                  <c:v>26.1541125</c:v>
                </c:pt>
                <c:pt idx="39">
                  <c:v>26.08</c:v>
                </c:pt>
                <c:pt idx="40">
                  <c:v>26.007112500000002</c:v>
                </c:pt>
                <c:pt idx="41">
                  <c:v>25.935449999999999</c:v>
                </c:pt>
                <c:pt idx="42">
                  <c:v>25.865012499999999</c:v>
                </c:pt>
                <c:pt idx="43">
                  <c:v>25.7958</c:v>
                </c:pt>
                <c:pt idx="44">
                  <c:v>25.727812499999999</c:v>
                </c:pt>
                <c:pt idx="45">
                  <c:v>25.661049999999999</c:v>
                </c:pt>
                <c:pt idx="46">
                  <c:v>25.595512499999998</c:v>
                </c:pt>
                <c:pt idx="47">
                  <c:v>25.531199999999998</c:v>
                </c:pt>
                <c:pt idx="48">
                  <c:v>25.4681125</c:v>
                </c:pt>
                <c:pt idx="49">
                  <c:v>25.40625</c:v>
                </c:pt>
                <c:pt idx="50">
                  <c:v>25.345612500000001</c:v>
                </c:pt>
                <c:pt idx="51">
                  <c:v>25.286200000000001</c:v>
                </c:pt>
                <c:pt idx="52">
                  <c:v>25.228012499999998</c:v>
                </c:pt>
                <c:pt idx="53">
                  <c:v>25.171050000000001</c:v>
                </c:pt>
                <c:pt idx="54">
                  <c:v>25.115312500000002</c:v>
                </c:pt>
                <c:pt idx="55">
                  <c:v>25.0608</c:v>
                </c:pt>
                <c:pt idx="56">
                  <c:v>25.007512500000001</c:v>
                </c:pt>
                <c:pt idx="57">
                  <c:v>24.955449999999999</c:v>
                </c:pt>
                <c:pt idx="58">
                  <c:v>24.904612499999999</c:v>
                </c:pt>
                <c:pt idx="59">
                  <c:v>24.855</c:v>
                </c:pt>
                <c:pt idx="60">
                  <c:v>24.8066125</c:v>
                </c:pt>
                <c:pt idx="61">
                  <c:v>24.759450000000001</c:v>
                </c:pt>
                <c:pt idx="62">
                  <c:v>24.7135125</c:v>
                </c:pt>
                <c:pt idx="63">
                  <c:v>24.668800000000001</c:v>
                </c:pt>
                <c:pt idx="64">
                  <c:v>24.6253125</c:v>
                </c:pt>
                <c:pt idx="65">
                  <c:v>24.58305</c:v>
                </c:pt>
                <c:pt idx="66">
                  <c:v>24.542012499999998</c:v>
                </c:pt>
                <c:pt idx="67">
                  <c:v>24.502200000000002</c:v>
                </c:pt>
                <c:pt idx="68">
                  <c:v>24.4636125</c:v>
                </c:pt>
                <c:pt idx="69">
                  <c:v>24.42625</c:v>
                </c:pt>
                <c:pt idx="70">
                  <c:v>24.390112500000001</c:v>
                </c:pt>
                <c:pt idx="71">
                  <c:v>24.3552</c:v>
                </c:pt>
                <c:pt idx="72">
                  <c:v>24.321512500000001</c:v>
                </c:pt>
                <c:pt idx="73">
                  <c:v>24.28905</c:v>
                </c:pt>
                <c:pt idx="74">
                  <c:v>24.2578125</c:v>
                </c:pt>
                <c:pt idx="75">
                  <c:v>24.227799999999998</c:v>
                </c:pt>
                <c:pt idx="76">
                  <c:v>24.199012499999998</c:v>
                </c:pt>
                <c:pt idx="77">
                  <c:v>24.17145</c:v>
                </c:pt>
                <c:pt idx="78">
                  <c:v>24.1451125</c:v>
                </c:pt>
                <c:pt idx="79">
                  <c:v>24.119999999999997</c:v>
                </c:pt>
                <c:pt idx="80">
                  <c:v>24.0961125</c:v>
                </c:pt>
                <c:pt idx="81">
                  <c:v>24.073450000000001</c:v>
                </c:pt>
                <c:pt idx="82">
                  <c:v>24.0520125</c:v>
                </c:pt>
                <c:pt idx="83">
                  <c:v>24.0318</c:v>
                </c:pt>
                <c:pt idx="84">
                  <c:v>24.012812499999999</c:v>
                </c:pt>
                <c:pt idx="85">
                  <c:v>23.995049999999999</c:v>
                </c:pt>
                <c:pt idx="86">
                  <c:v>23.978512500000001</c:v>
                </c:pt>
                <c:pt idx="87">
                  <c:v>23.963200000000001</c:v>
                </c:pt>
                <c:pt idx="88">
                  <c:v>23.949112499999998</c:v>
                </c:pt>
                <c:pt idx="89">
                  <c:v>23.936250000000001</c:v>
                </c:pt>
                <c:pt idx="90">
                  <c:v>23.924612500000002</c:v>
                </c:pt>
                <c:pt idx="91">
                  <c:v>23.914200000000001</c:v>
                </c:pt>
                <c:pt idx="92">
                  <c:v>23.905012499999998</c:v>
                </c:pt>
                <c:pt idx="93">
                  <c:v>23.89705</c:v>
                </c:pt>
                <c:pt idx="94">
                  <c:v>23.8903125</c:v>
                </c:pt>
                <c:pt idx="95">
                  <c:v>23.884799999999998</c:v>
                </c:pt>
                <c:pt idx="96">
                  <c:v>23.880512500000002</c:v>
                </c:pt>
                <c:pt idx="97">
                  <c:v>23.87745</c:v>
                </c:pt>
                <c:pt idx="98">
                  <c:v>23.875612499999999</c:v>
                </c:pt>
                <c:pt idx="99">
                  <c:v>23.875</c:v>
                </c:pt>
                <c:pt idx="100">
                  <c:v>23.875612499999999</c:v>
                </c:pt>
                <c:pt idx="101">
                  <c:v>23.87745</c:v>
                </c:pt>
                <c:pt idx="102">
                  <c:v>23.880512500000002</c:v>
                </c:pt>
                <c:pt idx="103">
                  <c:v>23.884799999999998</c:v>
                </c:pt>
                <c:pt idx="104">
                  <c:v>23.8903125</c:v>
                </c:pt>
                <c:pt idx="105">
                  <c:v>23.89705</c:v>
                </c:pt>
                <c:pt idx="106">
                  <c:v>23.905012500000002</c:v>
                </c:pt>
                <c:pt idx="107">
                  <c:v>23.914200000000001</c:v>
                </c:pt>
                <c:pt idx="108">
                  <c:v>23.924612499999999</c:v>
                </c:pt>
                <c:pt idx="109">
                  <c:v>23.936250000000001</c:v>
                </c:pt>
                <c:pt idx="110">
                  <c:v>23.949112499999998</c:v>
                </c:pt>
                <c:pt idx="111">
                  <c:v>23.963200000000001</c:v>
                </c:pt>
                <c:pt idx="112">
                  <c:v>23.978512500000001</c:v>
                </c:pt>
                <c:pt idx="113">
                  <c:v>23.995049999999999</c:v>
                </c:pt>
                <c:pt idx="114">
                  <c:v>24.012812499999999</c:v>
                </c:pt>
                <c:pt idx="115">
                  <c:v>24.0318</c:v>
                </c:pt>
                <c:pt idx="116">
                  <c:v>24.0520125</c:v>
                </c:pt>
                <c:pt idx="117">
                  <c:v>24.073450000000001</c:v>
                </c:pt>
                <c:pt idx="118">
                  <c:v>24.0961125</c:v>
                </c:pt>
                <c:pt idx="119">
                  <c:v>24.119999999999997</c:v>
                </c:pt>
                <c:pt idx="120">
                  <c:v>24.1451125</c:v>
                </c:pt>
                <c:pt idx="121">
                  <c:v>24.17145</c:v>
                </c:pt>
                <c:pt idx="122">
                  <c:v>24.199012500000002</c:v>
                </c:pt>
                <c:pt idx="123">
                  <c:v>24.227800000000002</c:v>
                </c:pt>
                <c:pt idx="124">
                  <c:v>24.2578125</c:v>
                </c:pt>
                <c:pt idx="125">
                  <c:v>24.28905</c:v>
                </c:pt>
                <c:pt idx="126">
                  <c:v>24.321512500000001</c:v>
                </c:pt>
                <c:pt idx="127">
                  <c:v>24.3552</c:v>
                </c:pt>
                <c:pt idx="128">
                  <c:v>24.390112500000001</c:v>
                </c:pt>
                <c:pt idx="129">
                  <c:v>24.42625</c:v>
                </c:pt>
                <c:pt idx="130">
                  <c:v>24.4636125</c:v>
                </c:pt>
                <c:pt idx="131">
                  <c:v>24.502200000000002</c:v>
                </c:pt>
                <c:pt idx="132">
                  <c:v>24.542012499999998</c:v>
                </c:pt>
                <c:pt idx="133">
                  <c:v>24.58305</c:v>
                </c:pt>
                <c:pt idx="134">
                  <c:v>24.6253125</c:v>
                </c:pt>
                <c:pt idx="135">
                  <c:v>24.668800000000001</c:v>
                </c:pt>
                <c:pt idx="136">
                  <c:v>24.7135125</c:v>
                </c:pt>
                <c:pt idx="137">
                  <c:v>24.759450000000001</c:v>
                </c:pt>
                <c:pt idx="138">
                  <c:v>24.8066125</c:v>
                </c:pt>
                <c:pt idx="139">
                  <c:v>24.855</c:v>
                </c:pt>
                <c:pt idx="140">
                  <c:v>24.904612499999999</c:v>
                </c:pt>
                <c:pt idx="141">
                  <c:v>24.955449999999999</c:v>
                </c:pt>
                <c:pt idx="142">
                  <c:v>25.007512499999997</c:v>
                </c:pt>
                <c:pt idx="143">
                  <c:v>25.0608</c:v>
                </c:pt>
                <c:pt idx="144">
                  <c:v>25.115312500000002</c:v>
                </c:pt>
                <c:pt idx="145">
                  <c:v>25.171050000000001</c:v>
                </c:pt>
                <c:pt idx="146">
                  <c:v>25.228012499999998</c:v>
                </c:pt>
                <c:pt idx="147">
                  <c:v>25.286200000000001</c:v>
                </c:pt>
                <c:pt idx="148">
                  <c:v>25.345612500000001</c:v>
                </c:pt>
                <c:pt idx="149">
                  <c:v>25.40625</c:v>
                </c:pt>
                <c:pt idx="150">
                  <c:v>25.4681125</c:v>
                </c:pt>
                <c:pt idx="151">
                  <c:v>25.531199999999998</c:v>
                </c:pt>
                <c:pt idx="152">
                  <c:v>25.595512500000002</c:v>
                </c:pt>
                <c:pt idx="153">
                  <c:v>25.661049999999999</c:v>
                </c:pt>
                <c:pt idx="154">
                  <c:v>25.727812499999999</c:v>
                </c:pt>
                <c:pt idx="155">
                  <c:v>25.7958</c:v>
                </c:pt>
                <c:pt idx="156">
                  <c:v>25.865012499999999</c:v>
                </c:pt>
                <c:pt idx="157">
                  <c:v>25.935449999999999</c:v>
                </c:pt>
                <c:pt idx="158">
                  <c:v>26.007112500000002</c:v>
                </c:pt>
                <c:pt idx="159">
                  <c:v>26.08</c:v>
                </c:pt>
                <c:pt idx="160">
                  <c:v>26.154112500000004</c:v>
                </c:pt>
                <c:pt idx="161">
                  <c:v>26.22945</c:v>
                </c:pt>
                <c:pt idx="162">
                  <c:v>26.306012500000001</c:v>
                </c:pt>
                <c:pt idx="163">
                  <c:v>26.383800000000001</c:v>
                </c:pt>
                <c:pt idx="164">
                  <c:v>26.462812500000002</c:v>
                </c:pt>
                <c:pt idx="165">
                  <c:v>26.543050000000001</c:v>
                </c:pt>
                <c:pt idx="166">
                  <c:v>26.624512500000002</c:v>
                </c:pt>
                <c:pt idx="167">
                  <c:v>26.7072</c:v>
                </c:pt>
                <c:pt idx="168">
                  <c:v>26.791112499999997</c:v>
                </c:pt>
                <c:pt idx="169">
                  <c:v>26.876249999999999</c:v>
                </c:pt>
                <c:pt idx="170">
                  <c:v>26.962612499999999</c:v>
                </c:pt>
                <c:pt idx="171">
                  <c:v>27.0502</c:v>
                </c:pt>
                <c:pt idx="172">
                  <c:v>27.1390125</c:v>
                </c:pt>
                <c:pt idx="173">
                  <c:v>27.229050000000001</c:v>
                </c:pt>
                <c:pt idx="174">
                  <c:v>27.3203125</c:v>
                </c:pt>
                <c:pt idx="175">
                  <c:v>27.412800000000001</c:v>
                </c:pt>
                <c:pt idx="176">
                  <c:v>27.506512499999999</c:v>
                </c:pt>
                <c:pt idx="177">
                  <c:v>27.60145</c:v>
                </c:pt>
                <c:pt idx="178">
                  <c:v>27.697612499999998</c:v>
                </c:pt>
                <c:pt idx="179">
                  <c:v>27.795000000000002</c:v>
                </c:pt>
                <c:pt idx="180">
                  <c:v>27.8936125</c:v>
                </c:pt>
                <c:pt idx="181">
                  <c:v>27.993450000000003</c:v>
                </c:pt>
                <c:pt idx="182">
                  <c:v>28.0945125</c:v>
                </c:pt>
                <c:pt idx="183">
                  <c:v>28.1968</c:v>
                </c:pt>
                <c:pt idx="184">
                  <c:v>28.3003125</c:v>
                </c:pt>
                <c:pt idx="185">
                  <c:v>28.405049999999999</c:v>
                </c:pt>
                <c:pt idx="186">
                  <c:v>28.511012500000003</c:v>
                </c:pt>
                <c:pt idx="187">
                  <c:v>28.618199999999998</c:v>
                </c:pt>
                <c:pt idx="188">
                  <c:v>28.726612499999998</c:v>
                </c:pt>
                <c:pt idx="189">
                  <c:v>28.83625</c:v>
                </c:pt>
                <c:pt idx="190">
                  <c:v>28.947112499999999</c:v>
                </c:pt>
                <c:pt idx="191">
                  <c:v>29.059199999999997</c:v>
                </c:pt>
                <c:pt idx="192">
                  <c:v>29.1725125</c:v>
                </c:pt>
                <c:pt idx="193">
                  <c:v>29.287049999999997</c:v>
                </c:pt>
                <c:pt idx="194">
                  <c:v>29.4028125</c:v>
                </c:pt>
                <c:pt idx="195">
                  <c:v>29.5198</c:v>
                </c:pt>
                <c:pt idx="196">
                  <c:v>29.638012500000002</c:v>
                </c:pt>
                <c:pt idx="197">
                  <c:v>29.757449999999999</c:v>
                </c:pt>
                <c:pt idx="198">
                  <c:v>29.8781125</c:v>
                </c:pt>
                <c:pt idx="199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35-4BA9-9D26-A38D2109CBB3}"/>
            </c:ext>
          </c:extLst>
        </c:ser>
        <c:ser>
          <c:idx val="3"/>
          <c:order val="3"/>
          <c:tx>
            <c:strRef>
              <c:f>Sheet1!$I$6</c:f>
              <c:strCache>
                <c:ptCount val="1"/>
                <c:pt idx="0">
                  <c:v>Idc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Sheet1!$I$7:$I$206</c:f>
              <c:numCache>
                <c:formatCode>0.00E+00</c:formatCode>
                <c:ptCount val="200"/>
                <c:pt idx="0">
                  <c:v>0.15000000000000002</c:v>
                </c:pt>
                <c:pt idx="1">
                  <c:v>0.30000000000000004</c:v>
                </c:pt>
                <c:pt idx="2">
                  <c:v>0.44999999999999996</c:v>
                </c:pt>
                <c:pt idx="3">
                  <c:v>0.60000000000000009</c:v>
                </c:pt>
                <c:pt idx="4">
                  <c:v>0.75000000000000011</c:v>
                </c:pt>
                <c:pt idx="5">
                  <c:v>0.89999999999999991</c:v>
                </c:pt>
                <c:pt idx="6">
                  <c:v>1.0500000000000003</c:v>
                </c:pt>
                <c:pt idx="7">
                  <c:v>1.2000000000000002</c:v>
                </c:pt>
                <c:pt idx="8">
                  <c:v>1.35</c:v>
                </c:pt>
                <c:pt idx="9">
                  <c:v>1.5000000000000002</c:v>
                </c:pt>
                <c:pt idx="10">
                  <c:v>1.65</c:v>
                </c:pt>
                <c:pt idx="11">
                  <c:v>1.7999999999999998</c:v>
                </c:pt>
                <c:pt idx="12">
                  <c:v>1.95</c:v>
                </c:pt>
                <c:pt idx="13">
                  <c:v>2.1000000000000005</c:v>
                </c:pt>
                <c:pt idx="14">
                  <c:v>2.25</c:v>
                </c:pt>
                <c:pt idx="15">
                  <c:v>2.4000000000000004</c:v>
                </c:pt>
                <c:pt idx="16">
                  <c:v>2.5500000000000003</c:v>
                </c:pt>
                <c:pt idx="17">
                  <c:v>2.7</c:v>
                </c:pt>
                <c:pt idx="18">
                  <c:v>2.85</c:v>
                </c:pt>
                <c:pt idx="19">
                  <c:v>3.0000000000000004</c:v>
                </c:pt>
                <c:pt idx="20">
                  <c:v>3.1499999999999995</c:v>
                </c:pt>
                <c:pt idx="21">
                  <c:v>3.3</c:v>
                </c:pt>
                <c:pt idx="22">
                  <c:v>3.4499999999999997</c:v>
                </c:pt>
                <c:pt idx="23">
                  <c:v>3.5999999999999996</c:v>
                </c:pt>
                <c:pt idx="24">
                  <c:v>3.75</c:v>
                </c:pt>
                <c:pt idx="25">
                  <c:v>3.9</c:v>
                </c:pt>
                <c:pt idx="26">
                  <c:v>4.05</c:v>
                </c:pt>
                <c:pt idx="27">
                  <c:v>4.2000000000000011</c:v>
                </c:pt>
                <c:pt idx="28">
                  <c:v>4.3500000000000005</c:v>
                </c:pt>
                <c:pt idx="29">
                  <c:v>4.5</c:v>
                </c:pt>
                <c:pt idx="30">
                  <c:v>4.6499999999999995</c:v>
                </c:pt>
                <c:pt idx="31">
                  <c:v>4.8000000000000007</c:v>
                </c:pt>
                <c:pt idx="32">
                  <c:v>4.95</c:v>
                </c:pt>
                <c:pt idx="33">
                  <c:v>5.1000000000000005</c:v>
                </c:pt>
                <c:pt idx="34">
                  <c:v>5.25</c:v>
                </c:pt>
                <c:pt idx="35">
                  <c:v>5.4</c:v>
                </c:pt>
                <c:pt idx="36">
                  <c:v>5.5500000000000007</c:v>
                </c:pt>
                <c:pt idx="37">
                  <c:v>5.7</c:v>
                </c:pt>
                <c:pt idx="38">
                  <c:v>5.85</c:v>
                </c:pt>
                <c:pt idx="39">
                  <c:v>6.0000000000000009</c:v>
                </c:pt>
                <c:pt idx="40">
                  <c:v>6.1499999999999995</c:v>
                </c:pt>
                <c:pt idx="41">
                  <c:v>6.2999999999999989</c:v>
                </c:pt>
                <c:pt idx="42">
                  <c:v>6.45</c:v>
                </c:pt>
                <c:pt idx="43">
                  <c:v>6.6</c:v>
                </c:pt>
                <c:pt idx="44">
                  <c:v>6.7500000000000009</c:v>
                </c:pt>
                <c:pt idx="45">
                  <c:v>6.8999999999999995</c:v>
                </c:pt>
                <c:pt idx="46">
                  <c:v>7.05</c:v>
                </c:pt>
                <c:pt idx="47">
                  <c:v>7.1999999999999993</c:v>
                </c:pt>
                <c:pt idx="48">
                  <c:v>7.35</c:v>
                </c:pt>
                <c:pt idx="49">
                  <c:v>7.5</c:v>
                </c:pt>
                <c:pt idx="50">
                  <c:v>7.65</c:v>
                </c:pt>
                <c:pt idx="51">
                  <c:v>7.8</c:v>
                </c:pt>
                <c:pt idx="52">
                  <c:v>7.9500000000000011</c:v>
                </c:pt>
                <c:pt idx="53">
                  <c:v>8.1</c:v>
                </c:pt>
                <c:pt idx="54">
                  <c:v>8.25</c:v>
                </c:pt>
                <c:pt idx="55">
                  <c:v>8.4000000000000021</c:v>
                </c:pt>
                <c:pt idx="56">
                  <c:v>8.5499999999999989</c:v>
                </c:pt>
                <c:pt idx="57">
                  <c:v>8.7000000000000011</c:v>
                </c:pt>
                <c:pt idx="58">
                  <c:v>8.8499999999999979</c:v>
                </c:pt>
                <c:pt idx="59">
                  <c:v>9</c:v>
                </c:pt>
                <c:pt idx="60">
                  <c:v>9.15</c:v>
                </c:pt>
                <c:pt idx="61">
                  <c:v>9.2999999999999989</c:v>
                </c:pt>
                <c:pt idx="62">
                  <c:v>9.4499999999999993</c:v>
                </c:pt>
                <c:pt idx="63">
                  <c:v>9.6000000000000014</c:v>
                </c:pt>
                <c:pt idx="64">
                  <c:v>9.75</c:v>
                </c:pt>
                <c:pt idx="65">
                  <c:v>9.9</c:v>
                </c:pt>
                <c:pt idx="66">
                  <c:v>10.050000000000001</c:v>
                </c:pt>
                <c:pt idx="67">
                  <c:v>10.200000000000001</c:v>
                </c:pt>
                <c:pt idx="68">
                  <c:v>10.35</c:v>
                </c:pt>
                <c:pt idx="69">
                  <c:v>10.5</c:v>
                </c:pt>
                <c:pt idx="70">
                  <c:v>10.649999999999999</c:v>
                </c:pt>
                <c:pt idx="71">
                  <c:v>10.8</c:v>
                </c:pt>
                <c:pt idx="72">
                  <c:v>10.950000000000001</c:v>
                </c:pt>
                <c:pt idx="73">
                  <c:v>11.100000000000001</c:v>
                </c:pt>
                <c:pt idx="74">
                  <c:v>11.249999999999998</c:v>
                </c:pt>
                <c:pt idx="75">
                  <c:v>11.4</c:v>
                </c:pt>
                <c:pt idx="76">
                  <c:v>11.55</c:v>
                </c:pt>
                <c:pt idx="77">
                  <c:v>11.7</c:v>
                </c:pt>
                <c:pt idx="78">
                  <c:v>11.85</c:v>
                </c:pt>
                <c:pt idx="79">
                  <c:v>12.000000000000002</c:v>
                </c:pt>
                <c:pt idx="80">
                  <c:v>12.15</c:v>
                </c:pt>
                <c:pt idx="81">
                  <c:v>12.299999999999999</c:v>
                </c:pt>
                <c:pt idx="82">
                  <c:v>12.45</c:v>
                </c:pt>
                <c:pt idx="83">
                  <c:v>12.599999999999998</c:v>
                </c:pt>
                <c:pt idx="84">
                  <c:v>12.75</c:v>
                </c:pt>
                <c:pt idx="85">
                  <c:v>12.9</c:v>
                </c:pt>
                <c:pt idx="86">
                  <c:v>13.05</c:v>
                </c:pt>
                <c:pt idx="87">
                  <c:v>13.2</c:v>
                </c:pt>
                <c:pt idx="88">
                  <c:v>13.350000000000001</c:v>
                </c:pt>
                <c:pt idx="89">
                  <c:v>13.500000000000002</c:v>
                </c:pt>
                <c:pt idx="90">
                  <c:v>13.65</c:v>
                </c:pt>
                <c:pt idx="91">
                  <c:v>13.799999999999999</c:v>
                </c:pt>
                <c:pt idx="92">
                  <c:v>13.950000000000001</c:v>
                </c:pt>
                <c:pt idx="93">
                  <c:v>14.1</c:v>
                </c:pt>
                <c:pt idx="94">
                  <c:v>14.249999999999998</c:v>
                </c:pt>
                <c:pt idx="95">
                  <c:v>14.399999999999999</c:v>
                </c:pt>
                <c:pt idx="96">
                  <c:v>14.55</c:v>
                </c:pt>
                <c:pt idx="97">
                  <c:v>14.7</c:v>
                </c:pt>
                <c:pt idx="98">
                  <c:v>14.85</c:v>
                </c:pt>
                <c:pt idx="99">
                  <c:v>15</c:v>
                </c:pt>
                <c:pt idx="100">
                  <c:v>15.15</c:v>
                </c:pt>
                <c:pt idx="101">
                  <c:v>15.3</c:v>
                </c:pt>
                <c:pt idx="102">
                  <c:v>15.450000000000001</c:v>
                </c:pt>
                <c:pt idx="103">
                  <c:v>15.6</c:v>
                </c:pt>
                <c:pt idx="104">
                  <c:v>15.750000000000002</c:v>
                </c:pt>
                <c:pt idx="105">
                  <c:v>15.900000000000002</c:v>
                </c:pt>
                <c:pt idx="106">
                  <c:v>16.05</c:v>
                </c:pt>
                <c:pt idx="107">
                  <c:v>16.2</c:v>
                </c:pt>
                <c:pt idx="108">
                  <c:v>16.350000000000001</c:v>
                </c:pt>
                <c:pt idx="109">
                  <c:v>16.5</c:v>
                </c:pt>
                <c:pt idx="110">
                  <c:v>16.650000000000002</c:v>
                </c:pt>
                <c:pt idx="111">
                  <c:v>16.800000000000004</c:v>
                </c:pt>
                <c:pt idx="112">
                  <c:v>16.95</c:v>
                </c:pt>
                <c:pt idx="113">
                  <c:v>17.099999999999998</c:v>
                </c:pt>
                <c:pt idx="114">
                  <c:v>17.249999999999996</c:v>
                </c:pt>
                <c:pt idx="115">
                  <c:v>17.400000000000002</c:v>
                </c:pt>
                <c:pt idx="116">
                  <c:v>17.549999999999997</c:v>
                </c:pt>
                <c:pt idx="117">
                  <c:v>17.699999999999996</c:v>
                </c:pt>
                <c:pt idx="118">
                  <c:v>17.849999999999998</c:v>
                </c:pt>
                <c:pt idx="119">
                  <c:v>18</c:v>
                </c:pt>
                <c:pt idx="120">
                  <c:v>18.150000000000002</c:v>
                </c:pt>
                <c:pt idx="121">
                  <c:v>18.3</c:v>
                </c:pt>
                <c:pt idx="122">
                  <c:v>18.45</c:v>
                </c:pt>
                <c:pt idx="123">
                  <c:v>18.599999999999998</c:v>
                </c:pt>
                <c:pt idx="124">
                  <c:v>18.75</c:v>
                </c:pt>
                <c:pt idx="125">
                  <c:v>18.899999999999999</c:v>
                </c:pt>
                <c:pt idx="126">
                  <c:v>19.050000000000004</c:v>
                </c:pt>
                <c:pt idx="127">
                  <c:v>19.200000000000003</c:v>
                </c:pt>
                <c:pt idx="128">
                  <c:v>19.350000000000001</c:v>
                </c:pt>
                <c:pt idx="129">
                  <c:v>19.5</c:v>
                </c:pt>
                <c:pt idx="130">
                  <c:v>19.650000000000002</c:v>
                </c:pt>
                <c:pt idx="131">
                  <c:v>19.8</c:v>
                </c:pt>
                <c:pt idx="132">
                  <c:v>19.95</c:v>
                </c:pt>
                <c:pt idx="133">
                  <c:v>20.100000000000001</c:v>
                </c:pt>
                <c:pt idx="134">
                  <c:v>20.249999999999996</c:v>
                </c:pt>
                <c:pt idx="135">
                  <c:v>20.400000000000002</c:v>
                </c:pt>
                <c:pt idx="136">
                  <c:v>20.55</c:v>
                </c:pt>
                <c:pt idx="137">
                  <c:v>20.7</c:v>
                </c:pt>
                <c:pt idx="138">
                  <c:v>20.849999999999998</c:v>
                </c:pt>
                <c:pt idx="139">
                  <c:v>21</c:v>
                </c:pt>
                <c:pt idx="140">
                  <c:v>21.15</c:v>
                </c:pt>
                <c:pt idx="141">
                  <c:v>21.299999999999997</c:v>
                </c:pt>
                <c:pt idx="142">
                  <c:v>21.449999999999996</c:v>
                </c:pt>
                <c:pt idx="143">
                  <c:v>21.6</c:v>
                </c:pt>
                <c:pt idx="144">
                  <c:v>21.75</c:v>
                </c:pt>
                <c:pt idx="145">
                  <c:v>21.900000000000002</c:v>
                </c:pt>
                <c:pt idx="146">
                  <c:v>22.05</c:v>
                </c:pt>
                <c:pt idx="147">
                  <c:v>22.200000000000003</c:v>
                </c:pt>
                <c:pt idx="148">
                  <c:v>22.349999999999998</c:v>
                </c:pt>
                <c:pt idx="149">
                  <c:v>22.499999999999996</c:v>
                </c:pt>
                <c:pt idx="150">
                  <c:v>22.65</c:v>
                </c:pt>
                <c:pt idx="151">
                  <c:v>22.8</c:v>
                </c:pt>
                <c:pt idx="152">
                  <c:v>22.950000000000003</c:v>
                </c:pt>
                <c:pt idx="153">
                  <c:v>23.1</c:v>
                </c:pt>
                <c:pt idx="154">
                  <c:v>23.25</c:v>
                </c:pt>
                <c:pt idx="155">
                  <c:v>23.4</c:v>
                </c:pt>
                <c:pt idx="156">
                  <c:v>23.55</c:v>
                </c:pt>
                <c:pt idx="157">
                  <c:v>23.7</c:v>
                </c:pt>
                <c:pt idx="158">
                  <c:v>23.85</c:v>
                </c:pt>
                <c:pt idx="159">
                  <c:v>24.000000000000004</c:v>
                </c:pt>
                <c:pt idx="160">
                  <c:v>24.150000000000002</c:v>
                </c:pt>
                <c:pt idx="161">
                  <c:v>24.3</c:v>
                </c:pt>
                <c:pt idx="162">
                  <c:v>24.45</c:v>
                </c:pt>
                <c:pt idx="163">
                  <c:v>24.599999999999998</c:v>
                </c:pt>
                <c:pt idx="164">
                  <c:v>24.75</c:v>
                </c:pt>
                <c:pt idx="165">
                  <c:v>24.9</c:v>
                </c:pt>
                <c:pt idx="166">
                  <c:v>25.05</c:v>
                </c:pt>
                <c:pt idx="167">
                  <c:v>25.199999999999996</c:v>
                </c:pt>
                <c:pt idx="168">
                  <c:v>25.349999999999998</c:v>
                </c:pt>
                <c:pt idx="169">
                  <c:v>25.5</c:v>
                </c:pt>
                <c:pt idx="170">
                  <c:v>25.65</c:v>
                </c:pt>
                <c:pt idx="171">
                  <c:v>25.8</c:v>
                </c:pt>
                <c:pt idx="172">
                  <c:v>25.95</c:v>
                </c:pt>
                <c:pt idx="173">
                  <c:v>26.1</c:v>
                </c:pt>
                <c:pt idx="174">
                  <c:v>26.249999999999996</c:v>
                </c:pt>
                <c:pt idx="175">
                  <c:v>26.4</c:v>
                </c:pt>
                <c:pt idx="176">
                  <c:v>26.55</c:v>
                </c:pt>
                <c:pt idx="177">
                  <c:v>26.700000000000003</c:v>
                </c:pt>
                <c:pt idx="178">
                  <c:v>26.85</c:v>
                </c:pt>
                <c:pt idx="179">
                  <c:v>27.000000000000004</c:v>
                </c:pt>
                <c:pt idx="180">
                  <c:v>27.150000000000002</c:v>
                </c:pt>
                <c:pt idx="181">
                  <c:v>27.3</c:v>
                </c:pt>
                <c:pt idx="182">
                  <c:v>27.45</c:v>
                </c:pt>
                <c:pt idx="183">
                  <c:v>27.599999999999998</c:v>
                </c:pt>
                <c:pt idx="184">
                  <c:v>27.750000000000004</c:v>
                </c:pt>
                <c:pt idx="185">
                  <c:v>27.900000000000002</c:v>
                </c:pt>
                <c:pt idx="186">
                  <c:v>28.050000000000004</c:v>
                </c:pt>
                <c:pt idx="187">
                  <c:v>28.2</c:v>
                </c:pt>
                <c:pt idx="188">
                  <c:v>28.349999999999998</c:v>
                </c:pt>
                <c:pt idx="189">
                  <c:v>28.499999999999996</c:v>
                </c:pt>
                <c:pt idx="190">
                  <c:v>28.65</c:v>
                </c:pt>
                <c:pt idx="191">
                  <c:v>28.799999999999997</c:v>
                </c:pt>
                <c:pt idx="192">
                  <c:v>28.950000000000003</c:v>
                </c:pt>
                <c:pt idx="193">
                  <c:v>29.1</c:v>
                </c:pt>
                <c:pt idx="194">
                  <c:v>29.25</c:v>
                </c:pt>
                <c:pt idx="195">
                  <c:v>29.4</c:v>
                </c:pt>
                <c:pt idx="196">
                  <c:v>29.55</c:v>
                </c:pt>
                <c:pt idx="197">
                  <c:v>29.7</c:v>
                </c:pt>
                <c:pt idx="198">
                  <c:v>29.85</c:v>
                </c:pt>
                <c:pt idx="199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52A-48A5-B95E-B956247776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726256"/>
        <c:axId val="815726736"/>
      </c:scatterChart>
      <c:valAx>
        <c:axId val="81572625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Duty Cycle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736"/>
        <c:crosses val="autoZero"/>
        <c:crossBetween val="midCat"/>
      </c:valAx>
      <c:valAx>
        <c:axId val="81572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 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7262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Contributed by Capacitors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Sheet1!$A$7:$A$206</c:f>
              <c:numCache>
                <c:formatCode>General</c:formatCode>
                <c:ptCount val="200"/>
                <c:pt idx="0">
                  <c:v>5.0000000000000001E-3</c:v>
                </c:pt>
                <c:pt idx="1">
                  <c:v>0.01</c:v>
                </c:pt>
                <c:pt idx="2">
                  <c:v>1.4999999999999999E-2</c:v>
                </c:pt>
                <c:pt idx="3">
                  <c:v>0.02</c:v>
                </c:pt>
                <c:pt idx="4">
                  <c:v>2.5000000000000001E-2</c:v>
                </c:pt>
                <c:pt idx="5">
                  <c:v>0.03</c:v>
                </c:pt>
                <c:pt idx="6">
                  <c:v>3.5000000000000003E-2</c:v>
                </c:pt>
                <c:pt idx="7">
                  <c:v>0.04</c:v>
                </c:pt>
                <c:pt idx="8">
                  <c:v>4.4999999999999998E-2</c:v>
                </c:pt>
                <c:pt idx="9">
                  <c:v>0.05</c:v>
                </c:pt>
                <c:pt idx="10">
                  <c:v>5.5E-2</c:v>
                </c:pt>
                <c:pt idx="11">
                  <c:v>0.06</c:v>
                </c:pt>
                <c:pt idx="12">
                  <c:v>6.5000000000000002E-2</c:v>
                </c:pt>
                <c:pt idx="13">
                  <c:v>7.0000000000000007E-2</c:v>
                </c:pt>
                <c:pt idx="14">
                  <c:v>7.4999999999999997E-2</c:v>
                </c:pt>
                <c:pt idx="15">
                  <c:v>0.08</c:v>
                </c:pt>
                <c:pt idx="16">
                  <c:v>8.5000000000000006E-2</c:v>
                </c:pt>
                <c:pt idx="17">
                  <c:v>0.09</c:v>
                </c:pt>
                <c:pt idx="18">
                  <c:v>9.5000000000000001E-2</c:v>
                </c:pt>
                <c:pt idx="19">
                  <c:v>0.1</c:v>
                </c:pt>
                <c:pt idx="20">
                  <c:v>0.105</c:v>
                </c:pt>
                <c:pt idx="21">
                  <c:v>0.11</c:v>
                </c:pt>
                <c:pt idx="22">
                  <c:v>0.115</c:v>
                </c:pt>
                <c:pt idx="23">
                  <c:v>0.12</c:v>
                </c:pt>
                <c:pt idx="24">
                  <c:v>0.125</c:v>
                </c:pt>
                <c:pt idx="25">
                  <c:v>0.13</c:v>
                </c:pt>
                <c:pt idx="26">
                  <c:v>0.13500000000000001</c:v>
                </c:pt>
                <c:pt idx="27">
                  <c:v>0.14000000000000001</c:v>
                </c:pt>
                <c:pt idx="28">
                  <c:v>0.14499999999999999</c:v>
                </c:pt>
                <c:pt idx="29">
                  <c:v>0.15</c:v>
                </c:pt>
                <c:pt idx="30">
                  <c:v>0.155</c:v>
                </c:pt>
                <c:pt idx="31">
                  <c:v>0.16</c:v>
                </c:pt>
                <c:pt idx="32">
                  <c:v>0.16500000000000001</c:v>
                </c:pt>
                <c:pt idx="33">
                  <c:v>0.17</c:v>
                </c:pt>
                <c:pt idx="34">
                  <c:v>0.17499999999999999</c:v>
                </c:pt>
                <c:pt idx="35">
                  <c:v>0.18</c:v>
                </c:pt>
                <c:pt idx="36">
                  <c:v>0.185</c:v>
                </c:pt>
                <c:pt idx="37">
                  <c:v>0.19</c:v>
                </c:pt>
                <c:pt idx="38">
                  <c:v>0.19500000000000001</c:v>
                </c:pt>
                <c:pt idx="39">
                  <c:v>0.2</c:v>
                </c:pt>
                <c:pt idx="40">
                  <c:v>0.20499999999999999</c:v>
                </c:pt>
                <c:pt idx="41">
                  <c:v>0.21</c:v>
                </c:pt>
                <c:pt idx="42">
                  <c:v>0.215</c:v>
                </c:pt>
                <c:pt idx="43">
                  <c:v>0.22</c:v>
                </c:pt>
                <c:pt idx="44">
                  <c:v>0.22500000000000001</c:v>
                </c:pt>
                <c:pt idx="45">
                  <c:v>0.23</c:v>
                </c:pt>
                <c:pt idx="46">
                  <c:v>0.23499999999999999</c:v>
                </c:pt>
                <c:pt idx="47">
                  <c:v>0.24</c:v>
                </c:pt>
                <c:pt idx="48">
                  <c:v>0.245</c:v>
                </c:pt>
                <c:pt idx="49">
                  <c:v>0.25</c:v>
                </c:pt>
                <c:pt idx="50">
                  <c:v>0.255</c:v>
                </c:pt>
                <c:pt idx="51">
                  <c:v>0.26</c:v>
                </c:pt>
                <c:pt idx="52">
                  <c:v>0.26500000000000001</c:v>
                </c:pt>
                <c:pt idx="53">
                  <c:v>0.27</c:v>
                </c:pt>
                <c:pt idx="54">
                  <c:v>0.27500000000000002</c:v>
                </c:pt>
                <c:pt idx="55">
                  <c:v>0.28000000000000003</c:v>
                </c:pt>
                <c:pt idx="56">
                  <c:v>0.28499999999999998</c:v>
                </c:pt>
                <c:pt idx="57">
                  <c:v>0.28999999999999998</c:v>
                </c:pt>
                <c:pt idx="58">
                  <c:v>0.29499999999999998</c:v>
                </c:pt>
                <c:pt idx="59">
                  <c:v>0.3</c:v>
                </c:pt>
                <c:pt idx="60">
                  <c:v>0.30499999999999999</c:v>
                </c:pt>
                <c:pt idx="61">
                  <c:v>0.31</c:v>
                </c:pt>
                <c:pt idx="62">
                  <c:v>0.315</c:v>
                </c:pt>
                <c:pt idx="63">
                  <c:v>0.32</c:v>
                </c:pt>
                <c:pt idx="64">
                  <c:v>0.32500000000000001</c:v>
                </c:pt>
                <c:pt idx="65">
                  <c:v>0.33</c:v>
                </c:pt>
                <c:pt idx="66">
                  <c:v>0.33500000000000002</c:v>
                </c:pt>
                <c:pt idx="67">
                  <c:v>0.34</c:v>
                </c:pt>
                <c:pt idx="68">
                  <c:v>0.34499999999999997</c:v>
                </c:pt>
                <c:pt idx="69">
                  <c:v>0.35</c:v>
                </c:pt>
                <c:pt idx="70">
                  <c:v>0.35499999999999998</c:v>
                </c:pt>
                <c:pt idx="71">
                  <c:v>0.36</c:v>
                </c:pt>
                <c:pt idx="72">
                  <c:v>0.36499999999999999</c:v>
                </c:pt>
                <c:pt idx="73">
                  <c:v>0.37</c:v>
                </c:pt>
                <c:pt idx="74">
                  <c:v>0.375</c:v>
                </c:pt>
                <c:pt idx="75">
                  <c:v>0.38</c:v>
                </c:pt>
                <c:pt idx="76">
                  <c:v>0.38500000000000001</c:v>
                </c:pt>
                <c:pt idx="77">
                  <c:v>0.39</c:v>
                </c:pt>
                <c:pt idx="78">
                  <c:v>0.39500000000000002</c:v>
                </c:pt>
                <c:pt idx="79">
                  <c:v>0.4</c:v>
                </c:pt>
                <c:pt idx="80">
                  <c:v>0.40500000000000003</c:v>
                </c:pt>
                <c:pt idx="81">
                  <c:v>0.41</c:v>
                </c:pt>
                <c:pt idx="82">
                  <c:v>0.41499999999999998</c:v>
                </c:pt>
                <c:pt idx="83">
                  <c:v>0.42</c:v>
                </c:pt>
                <c:pt idx="84">
                  <c:v>0.42499999999999999</c:v>
                </c:pt>
                <c:pt idx="85">
                  <c:v>0.43</c:v>
                </c:pt>
                <c:pt idx="86">
                  <c:v>0.435</c:v>
                </c:pt>
                <c:pt idx="87">
                  <c:v>0.44</c:v>
                </c:pt>
                <c:pt idx="88">
                  <c:v>0.44500000000000001</c:v>
                </c:pt>
                <c:pt idx="89">
                  <c:v>0.45</c:v>
                </c:pt>
                <c:pt idx="90">
                  <c:v>0.45500000000000002</c:v>
                </c:pt>
                <c:pt idx="91">
                  <c:v>0.46</c:v>
                </c:pt>
                <c:pt idx="92">
                  <c:v>0.46500000000000002</c:v>
                </c:pt>
                <c:pt idx="93">
                  <c:v>0.47</c:v>
                </c:pt>
                <c:pt idx="94">
                  <c:v>0.47499999999999998</c:v>
                </c:pt>
                <c:pt idx="95">
                  <c:v>0.48</c:v>
                </c:pt>
                <c:pt idx="96">
                  <c:v>0.48499999999999999</c:v>
                </c:pt>
                <c:pt idx="97">
                  <c:v>0.49</c:v>
                </c:pt>
                <c:pt idx="98">
                  <c:v>0.495</c:v>
                </c:pt>
                <c:pt idx="99">
                  <c:v>0.5</c:v>
                </c:pt>
                <c:pt idx="100">
                  <c:v>0.505</c:v>
                </c:pt>
                <c:pt idx="101">
                  <c:v>0.51</c:v>
                </c:pt>
                <c:pt idx="102">
                  <c:v>0.51500000000000001</c:v>
                </c:pt>
                <c:pt idx="103">
                  <c:v>0.52</c:v>
                </c:pt>
                <c:pt idx="104">
                  <c:v>0.52500000000000002</c:v>
                </c:pt>
                <c:pt idx="105">
                  <c:v>0.53</c:v>
                </c:pt>
                <c:pt idx="106">
                  <c:v>0.53500000000000003</c:v>
                </c:pt>
                <c:pt idx="107">
                  <c:v>0.54</c:v>
                </c:pt>
                <c:pt idx="108">
                  <c:v>0.54500000000000004</c:v>
                </c:pt>
                <c:pt idx="109">
                  <c:v>0.55000000000000004</c:v>
                </c:pt>
                <c:pt idx="110">
                  <c:v>0.55500000000000005</c:v>
                </c:pt>
                <c:pt idx="111">
                  <c:v>0.56000000000000005</c:v>
                </c:pt>
                <c:pt idx="112">
                  <c:v>0.56499999999999995</c:v>
                </c:pt>
                <c:pt idx="113">
                  <c:v>0.56999999999999995</c:v>
                </c:pt>
                <c:pt idx="114">
                  <c:v>0.57499999999999996</c:v>
                </c:pt>
                <c:pt idx="115">
                  <c:v>0.57999999999999996</c:v>
                </c:pt>
                <c:pt idx="116">
                  <c:v>0.58499999999999996</c:v>
                </c:pt>
                <c:pt idx="117">
                  <c:v>0.59</c:v>
                </c:pt>
                <c:pt idx="118">
                  <c:v>0.59499999999999997</c:v>
                </c:pt>
                <c:pt idx="119">
                  <c:v>0.6</c:v>
                </c:pt>
                <c:pt idx="120">
                  <c:v>0.60499999999999998</c:v>
                </c:pt>
                <c:pt idx="121">
                  <c:v>0.61</c:v>
                </c:pt>
                <c:pt idx="122">
                  <c:v>0.61499999999999999</c:v>
                </c:pt>
                <c:pt idx="123">
                  <c:v>0.62</c:v>
                </c:pt>
                <c:pt idx="124">
                  <c:v>0.625</c:v>
                </c:pt>
                <c:pt idx="125">
                  <c:v>0.63</c:v>
                </c:pt>
                <c:pt idx="126">
                  <c:v>0.63500000000000001</c:v>
                </c:pt>
                <c:pt idx="127">
                  <c:v>0.64</c:v>
                </c:pt>
                <c:pt idx="128">
                  <c:v>0.64500000000000002</c:v>
                </c:pt>
                <c:pt idx="129">
                  <c:v>0.65</c:v>
                </c:pt>
                <c:pt idx="130">
                  <c:v>0.65500000000000003</c:v>
                </c:pt>
                <c:pt idx="131">
                  <c:v>0.66</c:v>
                </c:pt>
                <c:pt idx="132">
                  <c:v>0.66500000000000004</c:v>
                </c:pt>
                <c:pt idx="133">
                  <c:v>0.67</c:v>
                </c:pt>
                <c:pt idx="134">
                  <c:v>0.67500000000000004</c:v>
                </c:pt>
                <c:pt idx="135">
                  <c:v>0.68</c:v>
                </c:pt>
                <c:pt idx="136">
                  <c:v>0.68500000000000005</c:v>
                </c:pt>
                <c:pt idx="137">
                  <c:v>0.69</c:v>
                </c:pt>
                <c:pt idx="138">
                  <c:v>0.69499999999999995</c:v>
                </c:pt>
                <c:pt idx="139">
                  <c:v>0.7</c:v>
                </c:pt>
                <c:pt idx="140">
                  <c:v>0.70499999999999996</c:v>
                </c:pt>
                <c:pt idx="141">
                  <c:v>0.71</c:v>
                </c:pt>
                <c:pt idx="142">
                  <c:v>0.71499999999999997</c:v>
                </c:pt>
                <c:pt idx="143">
                  <c:v>0.72</c:v>
                </c:pt>
                <c:pt idx="144">
                  <c:v>0.72499999999999998</c:v>
                </c:pt>
                <c:pt idx="145">
                  <c:v>0.73</c:v>
                </c:pt>
                <c:pt idx="146">
                  <c:v>0.73499999999999999</c:v>
                </c:pt>
                <c:pt idx="147">
                  <c:v>0.74</c:v>
                </c:pt>
                <c:pt idx="148">
                  <c:v>0.745</c:v>
                </c:pt>
                <c:pt idx="149">
                  <c:v>0.75</c:v>
                </c:pt>
                <c:pt idx="150">
                  <c:v>0.755</c:v>
                </c:pt>
                <c:pt idx="151">
                  <c:v>0.76</c:v>
                </c:pt>
                <c:pt idx="152">
                  <c:v>0.76500000000000001</c:v>
                </c:pt>
                <c:pt idx="153">
                  <c:v>0.77</c:v>
                </c:pt>
                <c:pt idx="154">
                  <c:v>0.77500000000000002</c:v>
                </c:pt>
                <c:pt idx="155">
                  <c:v>0.78</c:v>
                </c:pt>
                <c:pt idx="156">
                  <c:v>0.78500000000000003</c:v>
                </c:pt>
                <c:pt idx="157">
                  <c:v>0.79</c:v>
                </c:pt>
                <c:pt idx="158">
                  <c:v>0.79500000000000004</c:v>
                </c:pt>
                <c:pt idx="159">
                  <c:v>0.8</c:v>
                </c:pt>
                <c:pt idx="160">
                  <c:v>0.80500000000000005</c:v>
                </c:pt>
                <c:pt idx="161">
                  <c:v>0.81</c:v>
                </c:pt>
                <c:pt idx="162">
                  <c:v>0.81499999999999995</c:v>
                </c:pt>
                <c:pt idx="163">
                  <c:v>0.82</c:v>
                </c:pt>
                <c:pt idx="164">
                  <c:v>0.82499999999999996</c:v>
                </c:pt>
                <c:pt idx="165">
                  <c:v>0.83</c:v>
                </c:pt>
                <c:pt idx="166">
                  <c:v>0.83499999999999996</c:v>
                </c:pt>
                <c:pt idx="167">
                  <c:v>0.84</c:v>
                </c:pt>
                <c:pt idx="168">
                  <c:v>0.84499999999999997</c:v>
                </c:pt>
                <c:pt idx="169">
                  <c:v>0.85</c:v>
                </c:pt>
                <c:pt idx="170">
                  <c:v>0.85499999999999998</c:v>
                </c:pt>
                <c:pt idx="171">
                  <c:v>0.86</c:v>
                </c:pt>
                <c:pt idx="172">
                  <c:v>0.86499999999999999</c:v>
                </c:pt>
                <c:pt idx="173">
                  <c:v>0.87</c:v>
                </c:pt>
                <c:pt idx="174">
                  <c:v>0.875</c:v>
                </c:pt>
                <c:pt idx="175">
                  <c:v>0.88</c:v>
                </c:pt>
                <c:pt idx="176">
                  <c:v>0.88500000000000001</c:v>
                </c:pt>
                <c:pt idx="177">
                  <c:v>0.89</c:v>
                </c:pt>
                <c:pt idx="178">
                  <c:v>0.89500000000000002</c:v>
                </c:pt>
                <c:pt idx="179">
                  <c:v>0.9</c:v>
                </c:pt>
                <c:pt idx="180">
                  <c:v>0.90500000000000003</c:v>
                </c:pt>
                <c:pt idx="181">
                  <c:v>0.91</c:v>
                </c:pt>
                <c:pt idx="182">
                  <c:v>0.91500000000000004</c:v>
                </c:pt>
                <c:pt idx="183">
                  <c:v>0.92</c:v>
                </c:pt>
                <c:pt idx="184">
                  <c:v>0.92500000000000004</c:v>
                </c:pt>
                <c:pt idx="185">
                  <c:v>0.93</c:v>
                </c:pt>
                <c:pt idx="186">
                  <c:v>0.93500000000000005</c:v>
                </c:pt>
                <c:pt idx="187">
                  <c:v>0.94</c:v>
                </c:pt>
                <c:pt idx="188">
                  <c:v>0.94499999999999995</c:v>
                </c:pt>
                <c:pt idx="189">
                  <c:v>0.95</c:v>
                </c:pt>
                <c:pt idx="190">
                  <c:v>0.95499999999999996</c:v>
                </c:pt>
                <c:pt idx="191">
                  <c:v>0.96</c:v>
                </c:pt>
                <c:pt idx="192">
                  <c:v>0.96499999999999997</c:v>
                </c:pt>
                <c:pt idx="193">
                  <c:v>0.97</c:v>
                </c:pt>
                <c:pt idx="194">
                  <c:v>0.97499999999999998</c:v>
                </c:pt>
                <c:pt idx="195">
                  <c:v>0.98</c:v>
                </c:pt>
                <c:pt idx="196">
                  <c:v>0.98499999999999999</c:v>
                </c:pt>
                <c:pt idx="197">
                  <c:v>0.99</c:v>
                </c:pt>
                <c:pt idx="198">
                  <c:v>0.995</c:v>
                </c:pt>
                <c:pt idx="199">
                  <c:v>1</c:v>
                </c:pt>
              </c:numCache>
            </c:numRef>
          </c:xVal>
          <c:yVal>
            <c:numRef>
              <c:f>Sheet1!$L$7:$L$206</c:f>
              <c:numCache>
                <c:formatCode>0.00E+00</c:formatCode>
                <c:ptCount val="200"/>
                <c:pt idx="0">
                  <c:v>3.0106003430531757E-5</c:v>
                </c:pt>
                <c:pt idx="1">
                  <c:v>5.9909433962264207E-5</c:v>
                </c:pt>
                <c:pt idx="2">
                  <c:v>8.9410291595197315E-5</c:v>
                </c:pt>
                <c:pt idx="3">
                  <c:v>1.1860857632933116E-4</c:v>
                </c:pt>
                <c:pt idx="4">
                  <c:v>1.4750428816466562E-4</c:v>
                </c:pt>
                <c:pt idx="5">
                  <c:v>1.7609742710120082E-4</c:v>
                </c:pt>
                <c:pt idx="6">
                  <c:v>2.043879931389367E-4</c:v>
                </c:pt>
                <c:pt idx="7">
                  <c:v>2.3237598627787325E-4</c:v>
                </c:pt>
                <c:pt idx="8">
                  <c:v>2.6006140651801046E-4</c:v>
                </c:pt>
                <c:pt idx="9">
                  <c:v>2.874442538593484E-4</c:v>
                </c:pt>
                <c:pt idx="10">
                  <c:v>3.1452452830188699E-4</c:v>
                </c:pt>
                <c:pt idx="11">
                  <c:v>3.4130222984562634E-4</c:v>
                </c:pt>
                <c:pt idx="12">
                  <c:v>3.6777735849056635E-4</c:v>
                </c:pt>
                <c:pt idx="13">
                  <c:v>3.9394991423670706E-4</c:v>
                </c:pt>
                <c:pt idx="14">
                  <c:v>4.1981989708404831E-4</c:v>
                </c:pt>
                <c:pt idx="15">
                  <c:v>4.4538730703259043E-4</c:v>
                </c:pt>
                <c:pt idx="16">
                  <c:v>4.7065214408233315E-4</c:v>
                </c:pt>
                <c:pt idx="17">
                  <c:v>4.9561440823327641E-4</c:v>
                </c:pt>
                <c:pt idx="18">
                  <c:v>5.2027409948542059E-4</c:v>
                </c:pt>
                <c:pt idx="19">
                  <c:v>5.4463121783876532E-4</c:v>
                </c:pt>
                <c:pt idx="20">
                  <c:v>5.6868576329331081E-4</c:v>
                </c:pt>
                <c:pt idx="21">
                  <c:v>5.9243773584905695E-4</c:v>
                </c:pt>
                <c:pt idx="22">
                  <c:v>6.1588713550600385E-4</c:v>
                </c:pt>
                <c:pt idx="23">
                  <c:v>6.390339622641514E-4</c:v>
                </c:pt>
                <c:pt idx="24">
                  <c:v>6.618782161234996E-4</c:v>
                </c:pt>
                <c:pt idx="25">
                  <c:v>6.8441989708404856E-4</c:v>
                </c:pt>
                <c:pt idx="26">
                  <c:v>7.0665900514579807E-4</c:v>
                </c:pt>
                <c:pt idx="27">
                  <c:v>7.2859554030874844E-4</c:v>
                </c:pt>
                <c:pt idx="28">
                  <c:v>7.5022950257289936E-4</c:v>
                </c:pt>
                <c:pt idx="29">
                  <c:v>7.7156089193825092E-4</c:v>
                </c:pt>
                <c:pt idx="30">
                  <c:v>7.9258970840480314E-4</c:v>
                </c:pt>
                <c:pt idx="31">
                  <c:v>8.1331595197255645E-4</c:v>
                </c:pt>
                <c:pt idx="32">
                  <c:v>8.3373962264151008E-4</c:v>
                </c:pt>
                <c:pt idx="33">
                  <c:v>8.5386072041166458E-4</c:v>
                </c:pt>
                <c:pt idx="34">
                  <c:v>8.7367924528301941E-4</c:v>
                </c:pt>
                <c:pt idx="35">
                  <c:v>8.9319519725557521E-4</c:v>
                </c:pt>
                <c:pt idx="36">
                  <c:v>9.1240857632933188E-4</c:v>
                </c:pt>
                <c:pt idx="37">
                  <c:v>9.3131938250428888E-4</c:v>
                </c:pt>
                <c:pt idx="38">
                  <c:v>9.4992761578044664E-4</c:v>
                </c:pt>
                <c:pt idx="39">
                  <c:v>9.6823327615780516E-4</c:v>
                </c:pt>
                <c:pt idx="40">
                  <c:v>9.8623636363636422E-4</c:v>
                </c:pt>
                <c:pt idx="41">
                  <c:v>1.0039368782161241E-3</c:v>
                </c:pt>
                <c:pt idx="42">
                  <c:v>1.0213348198970849E-3</c:v>
                </c:pt>
                <c:pt idx="43">
                  <c:v>1.038430188679246E-3</c:v>
                </c:pt>
                <c:pt idx="44">
                  <c:v>1.0552229845626081E-3</c:v>
                </c:pt>
                <c:pt idx="45">
                  <c:v>1.0717132075471706E-3</c:v>
                </c:pt>
                <c:pt idx="46">
                  <c:v>1.087900857632934E-3</c:v>
                </c:pt>
                <c:pt idx="47">
                  <c:v>1.1037859348198978E-3</c:v>
                </c:pt>
                <c:pt idx="48">
                  <c:v>1.1193684391080623E-3</c:v>
                </c:pt>
                <c:pt idx="49">
                  <c:v>1.1346483704974279E-3</c:v>
                </c:pt>
                <c:pt idx="50">
                  <c:v>1.1496257289879941E-3</c:v>
                </c:pt>
                <c:pt idx="51">
                  <c:v>1.1643005145797608E-3</c:v>
                </c:pt>
                <c:pt idx="52">
                  <c:v>1.1786727272727283E-3</c:v>
                </c:pt>
                <c:pt idx="53">
                  <c:v>1.1927423670668963E-3</c:v>
                </c:pt>
                <c:pt idx="54">
                  <c:v>1.2065094339622654E-3</c:v>
                </c:pt>
                <c:pt idx="55">
                  <c:v>1.2199739279588346E-3</c:v>
                </c:pt>
                <c:pt idx="56">
                  <c:v>1.2331358490566048E-3</c:v>
                </c:pt>
                <c:pt idx="57">
                  <c:v>1.2459951972555755E-3</c:v>
                </c:pt>
                <c:pt idx="58">
                  <c:v>1.2585519725557468E-3</c:v>
                </c:pt>
                <c:pt idx="59">
                  <c:v>1.2708061749571191E-3</c:v>
                </c:pt>
                <c:pt idx="60">
                  <c:v>1.2827578044596923E-3</c:v>
                </c:pt>
                <c:pt idx="61">
                  <c:v>1.2944068610634657E-3</c:v>
                </c:pt>
                <c:pt idx="62">
                  <c:v>1.3057533447684401E-3</c:v>
                </c:pt>
                <c:pt idx="63">
                  <c:v>1.3167972555746153E-3</c:v>
                </c:pt>
                <c:pt idx="64">
                  <c:v>1.3275385934819904E-3</c:v>
                </c:pt>
                <c:pt idx="65">
                  <c:v>1.3379773584905671E-3</c:v>
                </c:pt>
                <c:pt idx="66">
                  <c:v>1.3481135506003444E-3</c:v>
                </c:pt>
                <c:pt idx="67">
                  <c:v>1.3579471698113221E-3</c:v>
                </c:pt>
                <c:pt idx="68">
                  <c:v>1.3674782161235003E-3</c:v>
                </c:pt>
                <c:pt idx="69">
                  <c:v>1.3767066895368793E-3</c:v>
                </c:pt>
                <c:pt idx="70">
                  <c:v>1.3856325900514592E-3</c:v>
                </c:pt>
                <c:pt idx="71">
                  <c:v>1.3942559176672393E-3</c:v>
                </c:pt>
                <c:pt idx="72">
                  <c:v>1.4025766723842208E-3</c:v>
                </c:pt>
                <c:pt idx="73">
                  <c:v>1.4105948542024026E-3</c:v>
                </c:pt>
                <c:pt idx="74">
                  <c:v>1.4183104631217847E-3</c:v>
                </c:pt>
                <c:pt idx="75">
                  <c:v>1.4257234991423679E-3</c:v>
                </c:pt>
                <c:pt idx="76">
                  <c:v>1.4328339622641522E-3</c:v>
                </c:pt>
                <c:pt idx="77">
                  <c:v>1.4396418524871366E-3</c:v>
                </c:pt>
                <c:pt idx="78">
                  <c:v>1.446147169811322E-3</c:v>
                </c:pt>
                <c:pt idx="79">
                  <c:v>1.4523499142367077E-3</c:v>
                </c:pt>
                <c:pt idx="80">
                  <c:v>1.4582500857632944E-3</c:v>
                </c:pt>
                <c:pt idx="81">
                  <c:v>1.4638476843910812E-3</c:v>
                </c:pt>
                <c:pt idx="82">
                  <c:v>1.4691427101200696E-3</c:v>
                </c:pt>
                <c:pt idx="83">
                  <c:v>1.4741351629502582E-3</c:v>
                </c:pt>
                <c:pt idx="84">
                  <c:v>1.4788250428816479E-3</c:v>
                </c:pt>
                <c:pt idx="85">
                  <c:v>1.483212349914238E-3</c:v>
                </c:pt>
                <c:pt idx="86">
                  <c:v>1.4872970840480286E-3</c:v>
                </c:pt>
                <c:pt idx="87">
                  <c:v>1.4910792452830198E-3</c:v>
                </c:pt>
                <c:pt idx="88">
                  <c:v>1.4945588336192121E-3</c:v>
                </c:pt>
                <c:pt idx="89">
                  <c:v>1.497735849056605E-3</c:v>
                </c:pt>
                <c:pt idx="90">
                  <c:v>1.5006102915951984E-3</c:v>
                </c:pt>
                <c:pt idx="91">
                  <c:v>1.5031821612349924E-3</c:v>
                </c:pt>
                <c:pt idx="92">
                  <c:v>1.5054514579759873E-3</c:v>
                </c:pt>
                <c:pt idx="93">
                  <c:v>1.5074181818181831E-3</c:v>
                </c:pt>
                <c:pt idx="94">
                  <c:v>1.5090823327615793E-3</c:v>
                </c:pt>
                <c:pt idx="95">
                  <c:v>1.5104439108061763E-3</c:v>
                </c:pt>
                <c:pt idx="96">
                  <c:v>1.5115029159519734E-3</c:v>
                </c:pt>
                <c:pt idx="97">
                  <c:v>1.5122593481989718E-3</c:v>
                </c:pt>
                <c:pt idx="98">
                  <c:v>1.5127132075471708E-3</c:v>
                </c:pt>
                <c:pt idx="99">
                  <c:v>1.5128644939965707E-3</c:v>
                </c:pt>
                <c:pt idx="100">
                  <c:v>1.5127132075471708E-3</c:v>
                </c:pt>
                <c:pt idx="101">
                  <c:v>1.512259348198972E-3</c:v>
                </c:pt>
                <c:pt idx="102">
                  <c:v>1.5115029159519741E-3</c:v>
                </c:pt>
                <c:pt idx="103">
                  <c:v>1.5104439108061763E-3</c:v>
                </c:pt>
                <c:pt idx="104">
                  <c:v>1.5090823327615791E-3</c:v>
                </c:pt>
                <c:pt idx="105">
                  <c:v>1.5074181818181831E-3</c:v>
                </c:pt>
                <c:pt idx="106">
                  <c:v>1.5054514579759871E-3</c:v>
                </c:pt>
                <c:pt idx="107">
                  <c:v>1.5031821612349922E-3</c:v>
                </c:pt>
                <c:pt idx="108">
                  <c:v>1.5006102915951984E-3</c:v>
                </c:pt>
                <c:pt idx="109">
                  <c:v>1.4977358490566052E-3</c:v>
                </c:pt>
                <c:pt idx="110">
                  <c:v>1.4945588336192119E-3</c:v>
                </c:pt>
                <c:pt idx="111">
                  <c:v>1.4910792452830198E-3</c:v>
                </c:pt>
                <c:pt idx="112">
                  <c:v>1.4872970840480288E-3</c:v>
                </c:pt>
                <c:pt idx="113">
                  <c:v>1.4832123499142378E-3</c:v>
                </c:pt>
                <c:pt idx="114">
                  <c:v>1.4788250428816479E-3</c:v>
                </c:pt>
                <c:pt idx="115">
                  <c:v>1.4741351629502584E-3</c:v>
                </c:pt>
                <c:pt idx="116">
                  <c:v>1.4691427101200694E-3</c:v>
                </c:pt>
                <c:pt idx="117">
                  <c:v>1.4638476843910815E-3</c:v>
                </c:pt>
                <c:pt idx="118">
                  <c:v>1.4582500857632946E-3</c:v>
                </c:pt>
                <c:pt idx="119">
                  <c:v>1.4523499142367077E-3</c:v>
                </c:pt>
                <c:pt idx="120">
                  <c:v>1.4461471698113217E-3</c:v>
                </c:pt>
                <c:pt idx="121">
                  <c:v>1.4396418524871366E-3</c:v>
                </c:pt>
                <c:pt idx="122">
                  <c:v>1.4328339622641515E-3</c:v>
                </c:pt>
                <c:pt idx="123">
                  <c:v>1.4257234991423677E-3</c:v>
                </c:pt>
                <c:pt idx="124">
                  <c:v>1.4183104631217849E-3</c:v>
                </c:pt>
                <c:pt idx="125">
                  <c:v>1.4105948542024026E-3</c:v>
                </c:pt>
                <c:pt idx="126">
                  <c:v>1.4025766723842212E-3</c:v>
                </c:pt>
                <c:pt idx="127">
                  <c:v>1.3942559176672398E-3</c:v>
                </c:pt>
                <c:pt idx="128">
                  <c:v>1.3856325900514592E-3</c:v>
                </c:pt>
                <c:pt idx="129">
                  <c:v>1.3767066895368789E-3</c:v>
                </c:pt>
                <c:pt idx="130">
                  <c:v>1.3674782161235003E-3</c:v>
                </c:pt>
                <c:pt idx="131">
                  <c:v>1.3579471698113217E-3</c:v>
                </c:pt>
                <c:pt idx="132">
                  <c:v>1.3481135506003439E-3</c:v>
                </c:pt>
                <c:pt idx="133">
                  <c:v>1.3379773584905671E-3</c:v>
                </c:pt>
                <c:pt idx="134">
                  <c:v>1.3275385934819904E-3</c:v>
                </c:pt>
                <c:pt idx="135">
                  <c:v>1.3167972555746155E-3</c:v>
                </c:pt>
                <c:pt idx="136">
                  <c:v>1.3057533447684397E-3</c:v>
                </c:pt>
                <c:pt idx="137">
                  <c:v>1.2944068610634661E-3</c:v>
                </c:pt>
                <c:pt idx="138">
                  <c:v>1.2827578044596927E-3</c:v>
                </c:pt>
                <c:pt idx="139">
                  <c:v>1.2708061749571195E-3</c:v>
                </c:pt>
                <c:pt idx="140">
                  <c:v>1.258551972555747E-3</c:v>
                </c:pt>
                <c:pt idx="141">
                  <c:v>1.2459951972555764E-3</c:v>
                </c:pt>
                <c:pt idx="142">
                  <c:v>1.2331358490566048E-3</c:v>
                </c:pt>
                <c:pt idx="143">
                  <c:v>1.219973927958834E-3</c:v>
                </c:pt>
                <c:pt idx="144">
                  <c:v>1.2065094339622647E-3</c:v>
                </c:pt>
                <c:pt idx="145">
                  <c:v>1.1927423670668963E-3</c:v>
                </c:pt>
                <c:pt idx="146">
                  <c:v>1.1786727272727283E-3</c:v>
                </c:pt>
                <c:pt idx="147">
                  <c:v>1.1643005145797608E-3</c:v>
                </c:pt>
                <c:pt idx="148">
                  <c:v>1.1496257289879939E-3</c:v>
                </c:pt>
                <c:pt idx="149">
                  <c:v>1.1346483704974277E-3</c:v>
                </c:pt>
                <c:pt idx="150">
                  <c:v>1.1193684391080621E-3</c:v>
                </c:pt>
                <c:pt idx="151">
                  <c:v>1.1037859348198974E-3</c:v>
                </c:pt>
                <c:pt idx="152">
                  <c:v>1.0879008576329342E-3</c:v>
                </c:pt>
                <c:pt idx="153">
                  <c:v>1.071713207547171E-3</c:v>
                </c:pt>
                <c:pt idx="154">
                  <c:v>1.0552229845626081E-3</c:v>
                </c:pt>
                <c:pt idx="155">
                  <c:v>1.0384301886792462E-3</c:v>
                </c:pt>
                <c:pt idx="156">
                  <c:v>1.0213348198970854E-3</c:v>
                </c:pt>
                <c:pt idx="157">
                  <c:v>1.0039368782161244E-3</c:v>
                </c:pt>
                <c:pt idx="158">
                  <c:v>9.8623636363636379E-4</c:v>
                </c:pt>
                <c:pt idx="159">
                  <c:v>9.6823327615780472E-4</c:v>
                </c:pt>
                <c:pt idx="160">
                  <c:v>9.499276157804461E-4</c:v>
                </c:pt>
                <c:pt idx="161">
                  <c:v>9.3131938250428834E-4</c:v>
                </c:pt>
                <c:pt idx="162">
                  <c:v>9.124085763293321E-4</c:v>
                </c:pt>
                <c:pt idx="163">
                  <c:v>8.9319519725557478E-4</c:v>
                </c:pt>
                <c:pt idx="164">
                  <c:v>8.7367924528301941E-4</c:v>
                </c:pt>
                <c:pt idx="165">
                  <c:v>8.5386072041166458E-4</c:v>
                </c:pt>
                <c:pt idx="166">
                  <c:v>8.3373962264151062E-4</c:v>
                </c:pt>
                <c:pt idx="167">
                  <c:v>8.1331595197255656E-4</c:v>
                </c:pt>
                <c:pt idx="168">
                  <c:v>7.9258970840480304E-4</c:v>
                </c:pt>
                <c:pt idx="169">
                  <c:v>7.7156089193825136E-4</c:v>
                </c:pt>
                <c:pt idx="170">
                  <c:v>7.5022950257289881E-4</c:v>
                </c:pt>
                <c:pt idx="171">
                  <c:v>7.2859554030874898E-4</c:v>
                </c:pt>
                <c:pt idx="172">
                  <c:v>7.0665900514579828E-4</c:v>
                </c:pt>
                <c:pt idx="173">
                  <c:v>6.8441989708404845E-4</c:v>
                </c:pt>
                <c:pt idx="174">
                  <c:v>6.618782161234996E-4</c:v>
                </c:pt>
                <c:pt idx="175">
                  <c:v>6.3903396226415075E-4</c:v>
                </c:pt>
                <c:pt idx="176">
                  <c:v>6.1588713550600374E-4</c:v>
                </c:pt>
                <c:pt idx="177">
                  <c:v>5.9243773584905673E-4</c:v>
                </c:pt>
                <c:pt idx="178">
                  <c:v>5.6868576329331059E-4</c:v>
                </c:pt>
                <c:pt idx="179">
                  <c:v>5.4463121783876543E-4</c:v>
                </c:pt>
                <c:pt idx="180">
                  <c:v>5.2027409948542027E-4</c:v>
                </c:pt>
                <c:pt idx="181">
                  <c:v>4.9561440823327608E-4</c:v>
                </c:pt>
                <c:pt idx="182">
                  <c:v>4.7065214408233282E-4</c:v>
                </c:pt>
                <c:pt idx="183">
                  <c:v>4.4538730703259043E-4</c:v>
                </c:pt>
                <c:pt idx="184">
                  <c:v>4.1981989708404901E-4</c:v>
                </c:pt>
                <c:pt idx="185">
                  <c:v>3.9394991423670662E-4</c:v>
                </c:pt>
                <c:pt idx="186">
                  <c:v>3.6777735849056613E-4</c:v>
                </c:pt>
                <c:pt idx="187">
                  <c:v>3.4130222984562656E-4</c:v>
                </c:pt>
                <c:pt idx="188">
                  <c:v>3.1452452830188791E-4</c:v>
                </c:pt>
                <c:pt idx="189">
                  <c:v>2.8744425385934927E-4</c:v>
                </c:pt>
                <c:pt idx="190">
                  <c:v>2.600614065180116E-4</c:v>
                </c:pt>
                <c:pt idx="191">
                  <c:v>2.3237598627787385E-4</c:v>
                </c:pt>
                <c:pt idx="192">
                  <c:v>2.043879931389361E-4</c:v>
                </c:pt>
                <c:pt idx="193">
                  <c:v>1.7609742710120025E-4</c:v>
                </c:pt>
                <c:pt idx="194">
                  <c:v>1.4750428816466532E-4</c:v>
                </c:pt>
                <c:pt idx="195">
                  <c:v>1.1860857632933135E-4</c:v>
                </c:pt>
                <c:pt idx="196">
                  <c:v>8.9410291595197342E-5</c:v>
                </c:pt>
                <c:pt idx="197">
                  <c:v>5.9909433962264281E-5</c:v>
                </c:pt>
                <c:pt idx="198">
                  <c:v>3.0106003430531195E-5</c:v>
                </c:pt>
                <c:pt idx="1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04F-4C8E-B4D3-F6CD697EC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6078912"/>
        <c:axId val="1066079392"/>
      </c:scatterChart>
      <c:valAx>
        <c:axId val="106607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9392"/>
        <c:crosses val="autoZero"/>
        <c:crossBetween val="midCat"/>
      </c:valAx>
      <c:valAx>
        <c:axId val="10660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07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167550</xdr:colOff>
      <xdr:row>21</xdr:row>
      <xdr:rowOff>161626</xdr:rowOff>
    </xdr:from>
    <xdr:to>
      <xdr:col>12</xdr:col>
      <xdr:colOff>555877</xdr:colOff>
      <xdr:row>43</xdr:row>
      <xdr:rowOff>178046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4EF9C5-E9F6-FF9D-1714-C4DD2A891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192911</xdr:colOff>
      <xdr:row>2</xdr:row>
      <xdr:rowOff>168797</xdr:rowOff>
    </xdr:from>
    <xdr:to>
      <xdr:col>12</xdr:col>
      <xdr:colOff>554619</xdr:colOff>
      <xdr:row>22</xdr:row>
      <xdr:rowOff>12057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F2DA98-2702-EF81-D99B-2A6C98B87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49D6E2-F57B-4F17-A622-7D5615C30F6E}" name="Table1" displayName="Table1" ref="A6:M206" totalsRowShown="0">
  <autoFilter ref="A6:M206" xr:uid="{1749D6E2-F57B-4F17-A622-7D5615C30F6E}"/>
  <tableColumns count="13">
    <tableColumn id="1" xr3:uid="{23F6CC53-3B36-4029-B0F9-0B2E17461A61}" name="Duty"/>
    <tableColumn id="2" xr3:uid="{72C47EA4-9324-4828-98C8-9B0EE22F0B71}" name="Vout">
      <calculatedColumnFormula>A7*Vin</calculatedColumnFormula>
    </tableColumn>
    <tableColumn id="3" xr3:uid="{01E6AF75-363D-4D18-BF41-D53DB3E826CB}" name="Ripple Current (A)">
      <calculatedColumnFormula>(Vin-B7)*A7/(Frequency*Inductance)</calculatedColumnFormula>
    </tableColumn>
    <tableColumn id="4" xr3:uid="{A95A4DDE-7299-4DAA-99F9-F21CB7A44D53}" name="Imin" dataDxfId="9">
      <calculatedColumnFormula>Irms-Table1[[#This Row],[Ripple Current (A)]]</calculatedColumnFormula>
    </tableColumn>
    <tableColumn id="5" xr3:uid="{8A80347B-130C-4B04-843B-31F8ECDFD466}" name="Imax" dataDxfId="8">
      <calculatedColumnFormula>Irms+Table1[[#This Row],[Ripple Current (A)]]</calculatedColumnFormula>
    </tableColumn>
    <tableColumn id="6" xr3:uid="{561F2B25-8B8A-48AF-8F96-80051E4F2FAA}" name="Pout" dataDxfId="7">
      <calculatedColumnFormula>Table1[[#This Row],[Vout]]*(Table1[[#This Row],[Imin]]+Table1[[#This Row],[Ripple Current (A)]])</calculatedColumnFormula>
    </tableColumn>
    <tableColumn id="7" xr3:uid="{D840E4EF-CCFF-4908-A07D-DBDC876AC307}" name="Energy/Cycle" dataDxfId="6">
      <calculatedColumnFormula>Table1[[#This Row],[Pout]]/Frequency</calculatedColumnFormula>
    </tableColumn>
    <tableColumn id="8" xr3:uid="{BA13BA90-82E7-40E4-A6A7-48B2A9F76EF6}" name="Time On" dataDxfId="5">
      <calculatedColumnFormula>Table1[[#This Row],[Duty]]/Frequency</calculatedColumnFormula>
    </tableColumn>
    <tableColumn id="9" xr3:uid="{4261E913-D5FD-4A82-B442-C0EB70A2E3AF}" name="Idc" dataDxfId="4">
      <calculatedColumnFormula>Table1[[#This Row],[Pout]]/Vin</calculatedColumnFormula>
    </tableColumn>
    <tableColumn id="10" xr3:uid="{7CFB591A-2F1C-436D-854A-BA2D8156BC58}" name="Edc" dataDxfId="3">
      <calculatedColumnFormula>Vin*Table1[[#This Row],[Idc]]*Table1[[#This Row],[Time On]]</calculatedColumnFormula>
    </tableColumn>
    <tableColumn id="11" xr3:uid="{1B5E7B8E-5F64-464F-A620-E7D8F59A210E}" name="E Capacitor" dataDxfId="2">
      <calculatedColumnFormula>Table1[[#This Row],[Energy/Cycle]]-Table1[[#This Row],[Edc]]</calculatedColumnFormula>
    </tableColumn>
    <tableColumn id="12" xr3:uid="{A059028F-0EA9-4CCC-836E-52A5B8B561A5}" name="Capacitor" dataDxfId="1">
      <calculatedColumnFormula>2*Table1[[#This Row],[E Capacitor]]/(Vin^2-(Vin-V_ripple)^2)</calculatedColumnFormula>
    </tableColumn>
    <tableColumn id="13" xr3:uid="{E2DA0FA2-D279-47DA-AD7A-24B445877473}" name="Ein vs Eout" dataDxfId="0">
      <calculatedColumnFormula>Table1[[#This Row],[Energy/Cycle]]-(Table1[[#This Row],[E Capacitor]]+Table1[[#This Row],[Edc]])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7AE97-DC33-4C9B-BD73-D2C2C7CD3E2D}">
  <dimension ref="A1:M206"/>
  <sheetViews>
    <sheetView tabSelected="1" topLeftCell="A2" zoomScale="79" workbookViewId="0">
      <selection activeCell="B5" sqref="B5"/>
    </sheetView>
  </sheetViews>
  <sheetFormatPr defaultRowHeight="15" x14ac:dyDescent="0.25"/>
  <cols>
    <col min="3" max="3" width="15.5703125" customWidth="1"/>
    <col min="4" max="4" width="23.140625" bestFit="1" customWidth="1"/>
    <col min="8" max="8" width="10" bestFit="1" customWidth="1"/>
  </cols>
  <sheetData>
    <row r="1" spans="1:13" x14ac:dyDescent="0.25">
      <c r="A1" t="s">
        <v>0</v>
      </c>
      <c r="B1" s="1">
        <v>10000</v>
      </c>
      <c r="D1" t="s">
        <v>21</v>
      </c>
      <c r="E1">
        <f>MAX(Table1[Capacitor])</f>
        <v>1.5128644939965707E-3</v>
      </c>
      <c r="G1" t="s">
        <v>23</v>
      </c>
    </row>
    <row r="2" spans="1:13" x14ac:dyDescent="0.25">
      <c r="A2" t="s">
        <v>1</v>
      </c>
      <c r="B2" s="1">
        <v>1.2E-4</v>
      </c>
      <c r="D2" t="s">
        <v>18</v>
      </c>
      <c r="E2">
        <f>E1/0.000005</f>
        <v>302.57289879931409</v>
      </c>
      <c r="G2" t="s">
        <v>22</v>
      </c>
    </row>
    <row r="3" spans="1:13" x14ac:dyDescent="0.25">
      <c r="A3" t="s">
        <v>2</v>
      </c>
      <c r="B3">
        <v>29.4</v>
      </c>
      <c r="D3" t="s">
        <v>19</v>
      </c>
      <c r="E3">
        <f>(3.2+1)*(2.5+1)</f>
        <v>14.700000000000001</v>
      </c>
    </row>
    <row r="4" spans="1:13" x14ac:dyDescent="0.25">
      <c r="A4" t="s">
        <v>6</v>
      </c>
      <c r="B4">
        <v>30</v>
      </c>
      <c r="D4" t="s">
        <v>20</v>
      </c>
      <c r="E4">
        <f>E3*E2</f>
        <v>4447.8216123499178</v>
      </c>
    </row>
    <row r="5" spans="1:13" x14ac:dyDescent="0.25">
      <c r="A5" t="s">
        <v>15</v>
      </c>
      <c r="B5" s="1">
        <v>0.5</v>
      </c>
    </row>
    <row r="6" spans="1:13" x14ac:dyDescent="0.25">
      <c r="A6" t="s">
        <v>3</v>
      </c>
      <c r="B6" t="s">
        <v>4</v>
      </c>
      <c r="C6" t="s">
        <v>5</v>
      </c>
      <c r="D6" t="s">
        <v>7</v>
      </c>
      <c r="E6" t="s">
        <v>8</v>
      </c>
      <c r="F6" t="s">
        <v>9</v>
      </c>
      <c r="G6" t="s">
        <v>10</v>
      </c>
      <c r="H6" t="s">
        <v>11</v>
      </c>
      <c r="I6" t="s">
        <v>12</v>
      </c>
      <c r="J6" t="s">
        <v>13</v>
      </c>
      <c r="K6" t="s">
        <v>14</v>
      </c>
      <c r="L6" t="s">
        <v>16</v>
      </c>
      <c r="M6" t="s">
        <v>17</v>
      </c>
    </row>
    <row r="7" spans="1:13" x14ac:dyDescent="0.25">
      <c r="A7">
        <v>5.0000000000000001E-3</v>
      </c>
      <c r="B7">
        <f t="shared" ref="B7:B38" si="0">A7*Vin</f>
        <v>0.14699999999999999</v>
      </c>
      <c r="C7">
        <f t="shared" ref="C7:C38" si="1">(Vin-B7)*A7/(Frequency*Inductance)</f>
        <v>0.12188750000000001</v>
      </c>
      <c r="D7">
        <f>Irms-Table1[[#This Row],[Ripple Current (A)]]</f>
        <v>29.8781125</v>
      </c>
      <c r="E7">
        <f>Irms+Table1[[#This Row],[Ripple Current (A)]]</f>
        <v>30.1218875</v>
      </c>
      <c r="F7">
        <f>Table1[[#This Row],[Vout]]*(Table1[[#This Row],[Imin]]+Table1[[#This Row],[Ripple Current (A)]])</f>
        <v>4.41</v>
      </c>
      <c r="G7" s="1">
        <f>Table1[[#This Row],[Pout]]/Frequency</f>
        <v>4.4100000000000004E-4</v>
      </c>
      <c r="H7" s="1">
        <f>Table1[[#This Row],[Duty]]/Frequency</f>
        <v>4.9999999999999998E-7</v>
      </c>
      <c r="I7" s="1">
        <f>Table1[[#This Row],[Pout]]/Vin</f>
        <v>0.15000000000000002</v>
      </c>
      <c r="J7" s="1">
        <f>Vin*Table1[[#This Row],[Idc]]*Table1[[#This Row],[Time On]]</f>
        <v>2.2050000000000001E-6</v>
      </c>
      <c r="K7" s="1">
        <f>Table1[[#This Row],[Energy/Cycle]]-Table1[[#This Row],[Edc]]</f>
        <v>4.3879500000000002E-4</v>
      </c>
      <c r="L7" s="1">
        <f>2*Table1[[#This Row],[E Capacitor]]/(Vin^2-(Vin-V_ripple)^2)</f>
        <v>3.0106003430531757E-5</v>
      </c>
      <c r="M7" s="1">
        <f>Table1[[#This Row],[Energy/Cycle]]-(Table1[[#This Row],[E Capacitor]]+Table1[[#This Row],[Edc]])</f>
        <v>0</v>
      </c>
    </row>
    <row r="8" spans="1:13" x14ac:dyDescent="0.25">
      <c r="A8">
        <v>0.01</v>
      </c>
      <c r="B8">
        <f t="shared" si="0"/>
        <v>0.29399999999999998</v>
      </c>
      <c r="C8">
        <f t="shared" si="1"/>
        <v>0.24254999999999999</v>
      </c>
      <c r="D8">
        <f>Irms-Table1[[#This Row],[Ripple Current (A)]]</f>
        <v>29.757449999999999</v>
      </c>
      <c r="E8">
        <f>Irms+Table1[[#This Row],[Ripple Current (A)]]</f>
        <v>30.242550000000001</v>
      </c>
      <c r="F8">
        <f>Table1[[#This Row],[Vout]]*(Table1[[#This Row],[Imin]]+Table1[[#This Row],[Ripple Current (A)]])</f>
        <v>8.82</v>
      </c>
      <c r="G8" s="1">
        <f>Table1[[#This Row],[Pout]]/Frequency</f>
        <v>8.8200000000000008E-4</v>
      </c>
      <c r="H8" s="1">
        <f>Table1[[#This Row],[Duty]]/Frequency</f>
        <v>9.9999999999999995E-7</v>
      </c>
      <c r="I8" s="1">
        <f>Table1[[#This Row],[Pout]]/Vin</f>
        <v>0.30000000000000004</v>
      </c>
      <c r="J8" s="1">
        <f>Vin*Table1[[#This Row],[Idc]]*Table1[[#This Row],[Time On]]</f>
        <v>8.8200000000000003E-6</v>
      </c>
      <c r="K8" s="1">
        <f>Table1[[#This Row],[Energy/Cycle]]-Table1[[#This Row],[Edc]]</f>
        <v>8.7318000000000009E-4</v>
      </c>
      <c r="L8" s="1">
        <f>2*Table1[[#This Row],[E Capacitor]]/(Vin^2-(Vin-V_ripple)^2)</f>
        <v>5.9909433962264207E-5</v>
      </c>
      <c r="M8" s="1">
        <f>Table1[[#This Row],[Energy/Cycle]]-(Table1[[#This Row],[E Capacitor]]+Table1[[#This Row],[Edc]])</f>
        <v>0</v>
      </c>
    </row>
    <row r="9" spans="1:13" x14ac:dyDescent="0.25">
      <c r="A9">
        <v>1.4999999999999999E-2</v>
      </c>
      <c r="B9">
        <f t="shared" si="0"/>
        <v>0.44099999999999995</v>
      </c>
      <c r="C9">
        <f t="shared" si="1"/>
        <v>0.36198749999999996</v>
      </c>
      <c r="D9">
        <f>Irms-Table1[[#This Row],[Ripple Current (A)]]</f>
        <v>29.638012499999999</v>
      </c>
      <c r="E9">
        <f>Irms+Table1[[#This Row],[Ripple Current (A)]]</f>
        <v>30.361987500000001</v>
      </c>
      <c r="F9">
        <f>Table1[[#This Row],[Vout]]*(Table1[[#This Row],[Imin]]+Table1[[#This Row],[Ripple Current (A)]])</f>
        <v>13.229999999999999</v>
      </c>
      <c r="G9" s="1">
        <f>Table1[[#This Row],[Pout]]/Frequency</f>
        <v>1.323E-3</v>
      </c>
      <c r="H9" s="1">
        <f>Table1[[#This Row],[Duty]]/Frequency</f>
        <v>1.5E-6</v>
      </c>
      <c r="I9" s="1">
        <f>Table1[[#This Row],[Pout]]/Vin</f>
        <v>0.44999999999999996</v>
      </c>
      <c r="J9" s="1">
        <f>Vin*Table1[[#This Row],[Idc]]*Table1[[#This Row],[Time On]]</f>
        <v>1.9844999999999997E-5</v>
      </c>
      <c r="K9" s="1">
        <f>Table1[[#This Row],[Energy/Cycle]]-Table1[[#This Row],[Edc]]</f>
        <v>1.3031549999999999E-3</v>
      </c>
      <c r="L9" s="1">
        <f>2*Table1[[#This Row],[E Capacitor]]/(Vin^2-(Vin-V_ripple)^2)</f>
        <v>8.9410291595197315E-5</v>
      </c>
      <c r="M9" s="1">
        <f>Table1[[#This Row],[Energy/Cycle]]-(Table1[[#This Row],[E Capacitor]]+Table1[[#This Row],[Edc]])</f>
        <v>0</v>
      </c>
    </row>
    <row r="10" spans="1:13" x14ac:dyDescent="0.25">
      <c r="A10">
        <v>0.02</v>
      </c>
      <c r="B10">
        <f t="shared" si="0"/>
        <v>0.58799999999999997</v>
      </c>
      <c r="C10">
        <f t="shared" si="1"/>
        <v>0.48020000000000002</v>
      </c>
      <c r="D10">
        <f>Irms-Table1[[#This Row],[Ripple Current (A)]]</f>
        <v>29.5198</v>
      </c>
      <c r="E10">
        <f>Irms+Table1[[#This Row],[Ripple Current (A)]]</f>
        <v>30.4802</v>
      </c>
      <c r="F10">
        <f>Table1[[#This Row],[Vout]]*(Table1[[#This Row],[Imin]]+Table1[[#This Row],[Ripple Current (A)]])</f>
        <v>17.64</v>
      </c>
      <c r="G10" s="1">
        <f>Table1[[#This Row],[Pout]]/Frequency</f>
        <v>1.7640000000000002E-3</v>
      </c>
      <c r="H10" s="1">
        <f>Table1[[#This Row],[Duty]]/Frequency</f>
        <v>1.9999999999999999E-6</v>
      </c>
      <c r="I10" s="1">
        <f>Table1[[#This Row],[Pout]]/Vin</f>
        <v>0.60000000000000009</v>
      </c>
      <c r="J10" s="1">
        <f>Vin*Table1[[#This Row],[Idc]]*Table1[[#This Row],[Time On]]</f>
        <v>3.5280000000000001E-5</v>
      </c>
      <c r="K10" s="1">
        <f>Table1[[#This Row],[Energy/Cycle]]-Table1[[#This Row],[Edc]]</f>
        <v>1.7287200000000002E-3</v>
      </c>
      <c r="L10" s="1">
        <f>2*Table1[[#This Row],[E Capacitor]]/(Vin^2-(Vin-V_ripple)^2)</f>
        <v>1.1860857632933116E-4</v>
      </c>
      <c r="M10" s="1">
        <f>Table1[[#This Row],[Energy/Cycle]]-(Table1[[#This Row],[E Capacitor]]+Table1[[#This Row],[Edc]])</f>
        <v>0</v>
      </c>
    </row>
    <row r="11" spans="1:13" x14ac:dyDescent="0.25">
      <c r="A11">
        <v>2.5000000000000001E-2</v>
      </c>
      <c r="B11">
        <f t="shared" si="0"/>
        <v>0.73499999999999999</v>
      </c>
      <c r="C11">
        <f t="shared" si="1"/>
        <v>0.59718750000000009</v>
      </c>
      <c r="D11">
        <f>Irms-Table1[[#This Row],[Ripple Current (A)]]</f>
        <v>29.4028125</v>
      </c>
      <c r="E11">
        <f>Irms+Table1[[#This Row],[Ripple Current (A)]]</f>
        <v>30.5971875</v>
      </c>
      <c r="F11">
        <f>Table1[[#This Row],[Vout]]*(Table1[[#This Row],[Imin]]+Table1[[#This Row],[Ripple Current (A)]])</f>
        <v>22.05</v>
      </c>
      <c r="G11" s="1">
        <f>Table1[[#This Row],[Pout]]/Frequency</f>
        <v>2.2049999999999999E-3</v>
      </c>
      <c r="H11" s="1">
        <f>Table1[[#This Row],[Duty]]/Frequency</f>
        <v>2.5000000000000002E-6</v>
      </c>
      <c r="I11" s="1">
        <f>Table1[[#This Row],[Pout]]/Vin</f>
        <v>0.75000000000000011</v>
      </c>
      <c r="J11" s="1">
        <f>Vin*Table1[[#This Row],[Idc]]*Table1[[#This Row],[Time On]]</f>
        <v>5.5125000000000005E-5</v>
      </c>
      <c r="K11" s="1">
        <f>Table1[[#This Row],[Energy/Cycle]]-Table1[[#This Row],[Edc]]</f>
        <v>2.1498749999999999E-3</v>
      </c>
      <c r="L11" s="1">
        <f>2*Table1[[#This Row],[E Capacitor]]/(Vin^2-(Vin-V_ripple)^2)</f>
        <v>1.4750428816466562E-4</v>
      </c>
      <c r="M11" s="1">
        <f>Table1[[#This Row],[Energy/Cycle]]-(Table1[[#This Row],[E Capacitor]]+Table1[[#This Row],[Edc]])</f>
        <v>0</v>
      </c>
    </row>
    <row r="12" spans="1:13" x14ac:dyDescent="0.25">
      <c r="A12">
        <v>0.03</v>
      </c>
      <c r="B12">
        <f t="shared" si="0"/>
        <v>0.8819999999999999</v>
      </c>
      <c r="C12">
        <f t="shared" si="1"/>
        <v>0.71294999999999986</v>
      </c>
      <c r="D12">
        <f>Irms-Table1[[#This Row],[Ripple Current (A)]]</f>
        <v>29.287050000000001</v>
      </c>
      <c r="E12">
        <f>Irms+Table1[[#This Row],[Ripple Current (A)]]</f>
        <v>30.712949999999999</v>
      </c>
      <c r="F12">
        <f>Table1[[#This Row],[Vout]]*(Table1[[#This Row],[Imin]]+Table1[[#This Row],[Ripple Current (A)]])</f>
        <v>26.459999999999997</v>
      </c>
      <c r="G12" s="1">
        <f>Table1[[#This Row],[Pout]]/Frequency</f>
        <v>2.6459999999999999E-3</v>
      </c>
      <c r="H12" s="1">
        <f>Table1[[#This Row],[Duty]]/Frequency</f>
        <v>3.0000000000000001E-6</v>
      </c>
      <c r="I12" s="1">
        <f>Table1[[#This Row],[Pout]]/Vin</f>
        <v>0.89999999999999991</v>
      </c>
      <c r="J12" s="1">
        <f>Vin*Table1[[#This Row],[Idc]]*Table1[[#This Row],[Time On]]</f>
        <v>7.9379999999999989E-5</v>
      </c>
      <c r="K12" s="1">
        <f>Table1[[#This Row],[Energy/Cycle]]-Table1[[#This Row],[Edc]]</f>
        <v>2.5666199999999999E-3</v>
      </c>
      <c r="L12" s="1">
        <f>2*Table1[[#This Row],[E Capacitor]]/(Vin^2-(Vin-V_ripple)^2)</f>
        <v>1.7609742710120082E-4</v>
      </c>
      <c r="M12" s="1">
        <f>Table1[[#This Row],[Energy/Cycle]]-(Table1[[#This Row],[E Capacitor]]+Table1[[#This Row],[Edc]])</f>
        <v>0</v>
      </c>
    </row>
    <row r="13" spans="1:13" x14ac:dyDescent="0.25">
      <c r="A13">
        <v>3.5000000000000003E-2</v>
      </c>
      <c r="B13">
        <f t="shared" si="0"/>
        <v>1.0290000000000001</v>
      </c>
      <c r="C13">
        <f t="shared" si="1"/>
        <v>0.82748750000000004</v>
      </c>
      <c r="D13">
        <f>Irms-Table1[[#This Row],[Ripple Current (A)]]</f>
        <v>29.1725125</v>
      </c>
      <c r="E13">
        <f>Irms+Table1[[#This Row],[Ripple Current (A)]]</f>
        <v>30.8274875</v>
      </c>
      <c r="F13">
        <f>Table1[[#This Row],[Vout]]*(Table1[[#This Row],[Imin]]+Table1[[#This Row],[Ripple Current (A)]])</f>
        <v>30.870000000000005</v>
      </c>
      <c r="G13" s="1">
        <f>Table1[[#This Row],[Pout]]/Frequency</f>
        <v>3.0870000000000003E-3</v>
      </c>
      <c r="H13" s="1">
        <f>Table1[[#This Row],[Duty]]/Frequency</f>
        <v>3.5000000000000004E-6</v>
      </c>
      <c r="I13" s="1">
        <f>Table1[[#This Row],[Pout]]/Vin</f>
        <v>1.0500000000000003</v>
      </c>
      <c r="J13" s="1">
        <f>Vin*Table1[[#This Row],[Idc]]*Table1[[#This Row],[Time On]]</f>
        <v>1.0804500000000004E-4</v>
      </c>
      <c r="K13" s="1">
        <f>Table1[[#This Row],[Energy/Cycle]]-Table1[[#This Row],[Edc]]</f>
        <v>2.9789550000000001E-3</v>
      </c>
      <c r="L13" s="1">
        <f>2*Table1[[#This Row],[E Capacitor]]/(Vin^2-(Vin-V_ripple)^2)</f>
        <v>2.043879931389367E-4</v>
      </c>
      <c r="M13" s="1">
        <f>Table1[[#This Row],[Energy/Cycle]]-(Table1[[#This Row],[E Capacitor]]+Table1[[#This Row],[Edc]])</f>
        <v>0</v>
      </c>
    </row>
    <row r="14" spans="1:13" x14ac:dyDescent="0.25">
      <c r="A14">
        <v>0.04</v>
      </c>
      <c r="B14">
        <f t="shared" si="0"/>
        <v>1.1759999999999999</v>
      </c>
      <c r="C14">
        <f t="shared" si="1"/>
        <v>0.94079999999999997</v>
      </c>
      <c r="D14">
        <f>Irms-Table1[[#This Row],[Ripple Current (A)]]</f>
        <v>29.059200000000001</v>
      </c>
      <c r="E14">
        <f>Irms+Table1[[#This Row],[Ripple Current (A)]]</f>
        <v>30.940799999999999</v>
      </c>
      <c r="F14">
        <f>Table1[[#This Row],[Vout]]*(Table1[[#This Row],[Imin]]+Table1[[#This Row],[Ripple Current (A)]])</f>
        <v>35.28</v>
      </c>
      <c r="G14" s="1">
        <f>Table1[[#This Row],[Pout]]/Frequency</f>
        <v>3.5280000000000003E-3</v>
      </c>
      <c r="H14" s="1">
        <f>Table1[[#This Row],[Duty]]/Frequency</f>
        <v>3.9999999999999998E-6</v>
      </c>
      <c r="I14" s="1">
        <f>Table1[[#This Row],[Pout]]/Vin</f>
        <v>1.2000000000000002</v>
      </c>
      <c r="J14" s="1">
        <f>Vin*Table1[[#This Row],[Idc]]*Table1[[#This Row],[Time On]]</f>
        <v>1.4112E-4</v>
      </c>
      <c r="K14" s="1">
        <f>Table1[[#This Row],[Energy/Cycle]]-Table1[[#This Row],[Edc]]</f>
        <v>3.3868800000000001E-3</v>
      </c>
      <c r="L14" s="1">
        <f>2*Table1[[#This Row],[E Capacitor]]/(Vin^2-(Vin-V_ripple)^2)</f>
        <v>2.3237598627787325E-4</v>
      </c>
      <c r="M14" s="1">
        <f>Table1[[#This Row],[Energy/Cycle]]-(Table1[[#This Row],[E Capacitor]]+Table1[[#This Row],[Edc]])</f>
        <v>0</v>
      </c>
    </row>
    <row r="15" spans="1:13" x14ac:dyDescent="0.25">
      <c r="A15">
        <v>4.4999999999999998E-2</v>
      </c>
      <c r="B15">
        <f t="shared" si="0"/>
        <v>1.323</v>
      </c>
      <c r="C15">
        <f t="shared" si="1"/>
        <v>1.0528875</v>
      </c>
      <c r="D15">
        <f>Irms-Table1[[#This Row],[Ripple Current (A)]]</f>
        <v>28.947112499999999</v>
      </c>
      <c r="E15">
        <f>Irms+Table1[[#This Row],[Ripple Current (A)]]</f>
        <v>31.052887500000001</v>
      </c>
      <c r="F15">
        <f>Table1[[#This Row],[Vout]]*(Table1[[#This Row],[Imin]]+Table1[[#This Row],[Ripple Current (A)]])</f>
        <v>39.69</v>
      </c>
      <c r="G15" s="1">
        <f>Table1[[#This Row],[Pout]]/Frequency</f>
        <v>3.9689999999999994E-3</v>
      </c>
      <c r="H15" s="1">
        <f>Table1[[#This Row],[Duty]]/Frequency</f>
        <v>4.5000000000000001E-6</v>
      </c>
      <c r="I15" s="1">
        <f>Table1[[#This Row],[Pout]]/Vin</f>
        <v>1.35</v>
      </c>
      <c r="J15" s="1">
        <f>Vin*Table1[[#This Row],[Idc]]*Table1[[#This Row],[Time On]]</f>
        <v>1.78605E-4</v>
      </c>
      <c r="K15" s="1">
        <f>Table1[[#This Row],[Energy/Cycle]]-Table1[[#This Row],[Edc]]</f>
        <v>3.7903949999999994E-3</v>
      </c>
      <c r="L15" s="1">
        <f>2*Table1[[#This Row],[E Capacitor]]/(Vin^2-(Vin-V_ripple)^2)</f>
        <v>2.6006140651801046E-4</v>
      </c>
      <c r="M15" s="1">
        <f>Table1[[#This Row],[Energy/Cycle]]-(Table1[[#This Row],[E Capacitor]]+Table1[[#This Row],[Edc]])</f>
        <v>0</v>
      </c>
    </row>
    <row r="16" spans="1:13" x14ac:dyDescent="0.25">
      <c r="A16">
        <v>0.05</v>
      </c>
      <c r="B16">
        <f t="shared" si="0"/>
        <v>1.47</v>
      </c>
      <c r="C16">
        <f t="shared" si="1"/>
        <v>1.1637500000000001</v>
      </c>
      <c r="D16">
        <f>Irms-Table1[[#This Row],[Ripple Current (A)]]</f>
        <v>28.83625</v>
      </c>
      <c r="E16">
        <f>Irms+Table1[[#This Row],[Ripple Current (A)]]</f>
        <v>31.16375</v>
      </c>
      <c r="F16">
        <f>Table1[[#This Row],[Vout]]*(Table1[[#This Row],[Imin]]+Table1[[#This Row],[Ripple Current (A)]])</f>
        <v>44.1</v>
      </c>
      <c r="G16" s="1">
        <f>Table1[[#This Row],[Pout]]/Frequency</f>
        <v>4.4099999999999999E-3</v>
      </c>
      <c r="H16" s="1">
        <f>Table1[[#This Row],[Duty]]/Frequency</f>
        <v>5.0000000000000004E-6</v>
      </c>
      <c r="I16" s="1">
        <f>Table1[[#This Row],[Pout]]/Vin</f>
        <v>1.5000000000000002</v>
      </c>
      <c r="J16" s="1">
        <f>Vin*Table1[[#This Row],[Idc]]*Table1[[#This Row],[Time On]]</f>
        <v>2.2050000000000002E-4</v>
      </c>
      <c r="K16" s="1">
        <f>Table1[[#This Row],[Energy/Cycle]]-Table1[[#This Row],[Edc]]</f>
        <v>4.1894999999999996E-3</v>
      </c>
      <c r="L16" s="1">
        <f>2*Table1[[#This Row],[E Capacitor]]/(Vin^2-(Vin-V_ripple)^2)</f>
        <v>2.874442538593484E-4</v>
      </c>
      <c r="M16" s="1">
        <f>Table1[[#This Row],[Energy/Cycle]]-(Table1[[#This Row],[E Capacitor]]+Table1[[#This Row],[Edc]])</f>
        <v>0</v>
      </c>
    </row>
    <row r="17" spans="1:13" x14ac:dyDescent="0.25">
      <c r="A17">
        <v>5.5E-2</v>
      </c>
      <c r="B17">
        <f t="shared" si="0"/>
        <v>1.617</v>
      </c>
      <c r="C17">
        <f t="shared" si="1"/>
        <v>1.2733874999999999</v>
      </c>
      <c r="D17">
        <f>Irms-Table1[[#This Row],[Ripple Current (A)]]</f>
        <v>28.726612500000002</v>
      </c>
      <c r="E17">
        <f>Irms+Table1[[#This Row],[Ripple Current (A)]]</f>
        <v>31.273387499999998</v>
      </c>
      <c r="F17">
        <f>Table1[[#This Row],[Vout]]*(Table1[[#This Row],[Imin]]+Table1[[#This Row],[Ripple Current (A)]])</f>
        <v>48.51</v>
      </c>
      <c r="G17" s="1">
        <f>Table1[[#This Row],[Pout]]/Frequency</f>
        <v>4.8509999999999994E-3</v>
      </c>
      <c r="H17" s="1">
        <f>Table1[[#This Row],[Duty]]/Frequency</f>
        <v>5.4999999999999999E-6</v>
      </c>
      <c r="I17" s="1">
        <f>Table1[[#This Row],[Pout]]/Vin</f>
        <v>1.65</v>
      </c>
      <c r="J17" s="1">
        <f>Vin*Table1[[#This Row],[Idc]]*Table1[[#This Row],[Time On]]</f>
        <v>2.66805E-4</v>
      </c>
      <c r="K17" s="1">
        <f>Table1[[#This Row],[Energy/Cycle]]-Table1[[#This Row],[Edc]]</f>
        <v>4.5841949999999992E-3</v>
      </c>
      <c r="L17" s="1">
        <f>2*Table1[[#This Row],[E Capacitor]]/(Vin^2-(Vin-V_ripple)^2)</f>
        <v>3.1452452830188699E-4</v>
      </c>
      <c r="M17" s="1">
        <f>Table1[[#This Row],[Energy/Cycle]]-(Table1[[#This Row],[E Capacitor]]+Table1[[#This Row],[Edc]])</f>
        <v>0</v>
      </c>
    </row>
    <row r="18" spans="1:13" x14ac:dyDescent="0.25">
      <c r="A18">
        <v>0.06</v>
      </c>
      <c r="B18">
        <f t="shared" si="0"/>
        <v>1.7639999999999998</v>
      </c>
      <c r="C18">
        <f t="shared" si="1"/>
        <v>1.3817999999999999</v>
      </c>
      <c r="D18">
        <f>Irms-Table1[[#This Row],[Ripple Current (A)]]</f>
        <v>28.618200000000002</v>
      </c>
      <c r="E18">
        <f>Irms+Table1[[#This Row],[Ripple Current (A)]]</f>
        <v>31.381799999999998</v>
      </c>
      <c r="F18">
        <f>Table1[[#This Row],[Vout]]*(Table1[[#This Row],[Imin]]+Table1[[#This Row],[Ripple Current (A)]])</f>
        <v>52.919999999999995</v>
      </c>
      <c r="G18" s="1">
        <f>Table1[[#This Row],[Pout]]/Frequency</f>
        <v>5.2919999999999998E-3</v>
      </c>
      <c r="H18" s="1">
        <f>Table1[[#This Row],[Duty]]/Frequency</f>
        <v>6.0000000000000002E-6</v>
      </c>
      <c r="I18" s="1">
        <f>Table1[[#This Row],[Pout]]/Vin</f>
        <v>1.7999999999999998</v>
      </c>
      <c r="J18" s="1">
        <f>Vin*Table1[[#This Row],[Idc]]*Table1[[#This Row],[Time On]]</f>
        <v>3.1751999999999996E-4</v>
      </c>
      <c r="K18" s="1">
        <f>Table1[[#This Row],[Energy/Cycle]]-Table1[[#This Row],[Edc]]</f>
        <v>4.9744799999999999E-3</v>
      </c>
      <c r="L18" s="1">
        <f>2*Table1[[#This Row],[E Capacitor]]/(Vin^2-(Vin-V_ripple)^2)</f>
        <v>3.4130222984562634E-4</v>
      </c>
      <c r="M18" s="1">
        <f>Table1[[#This Row],[Energy/Cycle]]-(Table1[[#This Row],[E Capacitor]]+Table1[[#This Row],[Edc]])</f>
        <v>0</v>
      </c>
    </row>
    <row r="19" spans="1:13" x14ac:dyDescent="0.25">
      <c r="A19">
        <v>6.5000000000000002E-2</v>
      </c>
      <c r="B19">
        <f t="shared" si="0"/>
        <v>1.911</v>
      </c>
      <c r="C19">
        <f t="shared" si="1"/>
        <v>1.4889874999999999</v>
      </c>
      <c r="D19">
        <f>Irms-Table1[[#This Row],[Ripple Current (A)]]</f>
        <v>28.5110125</v>
      </c>
      <c r="E19">
        <f>Irms+Table1[[#This Row],[Ripple Current (A)]]</f>
        <v>31.4889875</v>
      </c>
      <c r="F19">
        <f>Table1[[#This Row],[Vout]]*(Table1[[#This Row],[Imin]]+Table1[[#This Row],[Ripple Current (A)]])</f>
        <v>57.33</v>
      </c>
      <c r="G19" s="1">
        <f>Table1[[#This Row],[Pout]]/Frequency</f>
        <v>5.7330000000000002E-3</v>
      </c>
      <c r="H19" s="1">
        <f>Table1[[#This Row],[Duty]]/Frequency</f>
        <v>6.5000000000000004E-6</v>
      </c>
      <c r="I19" s="1">
        <f>Table1[[#This Row],[Pout]]/Vin</f>
        <v>1.95</v>
      </c>
      <c r="J19" s="1">
        <f>Vin*Table1[[#This Row],[Idc]]*Table1[[#This Row],[Time On]]</f>
        <v>3.7264500000000001E-4</v>
      </c>
      <c r="K19" s="1">
        <f>Table1[[#This Row],[Energy/Cycle]]-Table1[[#This Row],[Edc]]</f>
        <v>5.3603550000000007E-3</v>
      </c>
      <c r="L19" s="1">
        <f>2*Table1[[#This Row],[E Capacitor]]/(Vin^2-(Vin-V_ripple)^2)</f>
        <v>3.6777735849056635E-4</v>
      </c>
      <c r="M19" s="1">
        <f>Table1[[#This Row],[Energy/Cycle]]-(Table1[[#This Row],[E Capacitor]]+Table1[[#This Row],[Edc]])</f>
        <v>0</v>
      </c>
    </row>
    <row r="20" spans="1:13" x14ac:dyDescent="0.25">
      <c r="A20">
        <v>7.0000000000000007E-2</v>
      </c>
      <c r="B20">
        <f t="shared" si="0"/>
        <v>2.0580000000000003</v>
      </c>
      <c r="C20">
        <f t="shared" si="1"/>
        <v>1.5949500000000003</v>
      </c>
      <c r="D20">
        <f>Irms-Table1[[#This Row],[Ripple Current (A)]]</f>
        <v>28.405049999999999</v>
      </c>
      <c r="E20">
        <f>Irms+Table1[[#This Row],[Ripple Current (A)]]</f>
        <v>31.594950000000001</v>
      </c>
      <c r="F20">
        <f>Table1[[#This Row],[Vout]]*(Table1[[#This Row],[Imin]]+Table1[[#This Row],[Ripple Current (A)]])</f>
        <v>61.740000000000009</v>
      </c>
      <c r="G20" s="1">
        <f>Table1[[#This Row],[Pout]]/Frequency</f>
        <v>6.1740000000000007E-3</v>
      </c>
      <c r="H20" s="1">
        <f>Table1[[#This Row],[Duty]]/Frequency</f>
        <v>7.0000000000000007E-6</v>
      </c>
      <c r="I20" s="1">
        <f>Table1[[#This Row],[Pout]]/Vin</f>
        <v>2.1000000000000005</v>
      </c>
      <c r="J20" s="1">
        <f>Vin*Table1[[#This Row],[Idc]]*Table1[[#This Row],[Time On]]</f>
        <v>4.3218000000000016E-4</v>
      </c>
      <c r="K20" s="1">
        <f>Table1[[#This Row],[Energy/Cycle]]-Table1[[#This Row],[Edc]]</f>
        <v>5.7418200000000008E-3</v>
      </c>
      <c r="L20" s="1">
        <f>2*Table1[[#This Row],[E Capacitor]]/(Vin^2-(Vin-V_ripple)^2)</f>
        <v>3.9394991423670706E-4</v>
      </c>
      <c r="M20" s="1">
        <f>Table1[[#This Row],[Energy/Cycle]]-(Table1[[#This Row],[E Capacitor]]+Table1[[#This Row],[Edc]])</f>
        <v>0</v>
      </c>
    </row>
    <row r="21" spans="1:13" x14ac:dyDescent="0.25">
      <c r="A21">
        <v>7.4999999999999997E-2</v>
      </c>
      <c r="B21">
        <f t="shared" si="0"/>
        <v>2.2049999999999996</v>
      </c>
      <c r="C21">
        <f t="shared" si="1"/>
        <v>1.6996875</v>
      </c>
      <c r="D21">
        <f>Irms-Table1[[#This Row],[Ripple Current (A)]]</f>
        <v>28.3003125</v>
      </c>
      <c r="E21">
        <f>Irms+Table1[[#This Row],[Ripple Current (A)]]</f>
        <v>31.6996875</v>
      </c>
      <c r="F21">
        <f>Table1[[#This Row],[Vout]]*(Table1[[#This Row],[Imin]]+Table1[[#This Row],[Ripple Current (A)]])</f>
        <v>66.149999999999991</v>
      </c>
      <c r="G21" s="1">
        <f>Table1[[#This Row],[Pout]]/Frequency</f>
        <v>6.6149999999999994E-3</v>
      </c>
      <c r="H21" s="1">
        <f>Table1[[#This Row],[Duty]]/Frequency</f>
        <v>7.4999999999999993E-6</v>
      </c>
      <c r="I21" s="1">
        <f>Table1[[#This Row],[Pout]]/Vin</f>
        <v>2.25</v>
      </c>
      <c r="J21" s="1">
        <f>Vin*Table1[[#This Row],[Idc]]*Table1[[#This Row],[Time On]]</f>
        <v>4.9612499999999993E-4</v>
      </c>
      <c r="K21" s="1">
        <f>Table1[[#This Row],[Energy/Cycle]]-Table1[[#This Row],[Edc]]</f>
        <v>6.1188749999999993E-3</v>
      </c>
      <c r="L21" s="1">
        <f>2*Table1[[#This Row],[E Capacitor]]/(Vin^2-(Vin-V_ripple)^2)</f>
        <v>4.1981989708404831E-4</v>
      </c>
      <c r="M21" s="1">
        <f>Table1[[#This Row],[Energy/Cycle]]-(Table1[[#This Row],[E Capacitor]]+Table1[[#This Row],[Edc]])</f>
        <v>0</v>
      </c>
    </row>
    <row r="22" spans="1:13" x14ac:dyDescent="0.25">
      <c r="A22">
        <v>0.08</v>
      </c>
      <c r="B22">
        <f t="shared" si="0"/>
        <v>2.3519999999999999</v>
      </c>
      <c r="C22">
        <f t="shared" si="1"/>
        <v>1.8032000000000001</v>
      </c>
      <c r="D22">
        <f>Irms-Table1[[#This Row],[Ripple Current (A)]]</f>
        <v>28.1968</v>
      </c>
      <c r="E22">
        <f>Irms+Table1[[#This Row],[Ripple Current (A)]]</f>
        <v>31.8032</v>
      </c>
      <c r="F22">
        <f>Table1[[#This Row],[Vout]]*(Table1[[#This Row],[Imin]]+Table1[[#This Row],[Ripple Current (A)]])</f>
        <v>70.56</v>
      </c>
      <c r="G22" s="1">
        <f>Table1[[#This Row],[Pout]]/Frequency</f>
        <v>7.0560000000000006E-3</v>
      </c>
      <c r="H22" s="1">
        <f>Table1[[#This Row],[Duty]]/Frequency</f>
        <v>7.9999999999999996E-6</v>
      </c>
      <c r="I22" s="1">
        <f>Table1[[#This Row],[Pout]]/Vin</f>
        <v>2.4000000000000004</v>
      </c>
      <c r="J22" s="1">
        <f>Vin*Table1[[#This Row],[Idc]]*Table1[[#This Row],[Time On]]</f>
        <v>5.6448000000000002E-4</v>
      </c>
      <c r="K22" s="1">
        <f>Table1[[#This Row],[Energy/Cycle]]-Table1[[#This Row],[Edc]]</f>
        <v>6.4915200000000006E-3</v>
      </c>
      <c r="L22" s="1">
        <f>2*Table1[[#This Row],[E Capacitor]]/(Vin^2-(Vin-V_ripple)^2)</f>
        <v>4.4538730703259043E-4</v>
      </c>
      <c r="M22" s="1">
        <f>Table1[[#This Row],[Energy/Cycle]]-(Table1[[#This Row],[E Capacitor]]+Table1[[#This Row],[Edc]])</f>
        <v>0</v>
      </c>
    </row>
    <row r="23" spans="1:13" x14ac:dyDescent="0.25">
      <c r="A23">
        <v>8.5000000000000006E-2</v>
      </c>
      <c r="B23">
        <f t="shared" si="0"/>
        <v>2.4990000000000001</v>
      </c>
      <c r="C23">
        <f t="shared" si="1"/>
        <v>1.9054875000000002</v>
      </c>
      <c r="D23">
        <f>Irms-Table1[[#This Row],[Ripple Current (A)]]</f>
        <v>28.0945125</v>
      </c>
      <c r="E23">
        <f>Irms+Table1[[#This Row],[Ripple Current (A)]]</f>
        <v>31.9054875</v>
      </c>
      <c r="F23">
        <f>Table1[[#This Row],[Vout]]*(Table1[[#This Row],[Imin]]+Table1[[#This Row],[Ripple Current (A)]])</f>
        <v>74.97</v>
      </c>
      <c r="G23" s="1">
        <f>Table1[[#This Row],[Pout]]/Frequency</f>
        <v>7.4970000000000002E-3</v>
      </c>
      <c r="H23" s="1">
        <f>Table1[[#This Row],[Duty]]/Frequency</f>
        <v>8.4999999999999999E-6</v>
      </c>
      <c r="I23" s="1">
        <f>Table1[[#This Row],[Pout]]/Vin</f>
        <v>2.5500000000000003</v>
      </c>
      <c r="J23" s="1">
        <f>Vin*Table1[[#This Row],[Idc]]*Table1[[#This Row],[Time On]]</f>
        <v>6.3724499999999993E-4</v>
      </c>
      <c r="K23" s="1">
        <f>Table1[[#This Row],[Energy/Cycle]]-Table1[[#This Row],[Edc]]</f>
        <v>6.8597550000000004E-3</v>
      </c>
      <c r="L23" s="1">
        <f>2*Table1[[#This Row],[E Capacitor]]/(Vin^2-(Vin-V_ripple)^2)</f>
        <v>4.7065214408233315E-4</v>
      </c>
      <c r="M23" s="1">
        <f>Table1[[#This Row],[Energy/Cycle]]-(Table1[[#This Row],[E Capacitor]]+Table1[[#This Row],[Edc]])</f>
        <v>0</v>
      </c>
    </row>
    <row r="24" spans="1:13" x14ac:dyDescent="0.25">
      <c r="A24">
        <v>0.09</v>
      </c>
      <c r="B24">
        <f t="shared" si="0"/>
        <v>2.6459999999999999</v>
      </c>
      <c r="C24">
        <f t="shared" si="1"/>
        <v>2.0065499999999998</v>
      </c>
      <c r="D24">
        <f>Irms-Table1[[#This Row],[Ripple Current (A)]]</f>
        <v>27.993449999999999</v>
      </c>
      <c r="E24">
        <f>Irms+Table1[[#This Row],[Ripple Current (A)]]</f>
        <v>32.006549999999997</v>
      </c>
      <c r="F24">
        <f>Table1[[#This Row],[Vout]]*(Table1[[#This Row],[Imin]]+Table1[[#This Row],[Ripple Current (A)]])</f>
        <v>79.38</v>
      </c>
      <c r="G24" s="1">
        <f>Table1[[#This Row],[Pout]]/Frequency</f>
        <v>7.9379999999999989E-3</v>
      </c>
      <c r="H24" s="1">
        <f>Table1[[#This Row],[Duty]]/Frequency</f>
        <v>9.0000000000000002E-6</v>
      </c>
      <c r="I24" s="1">
        <f>Table1[[#This Row],[Pout]]/Vin</f>
        <v>2.7</v>
      </c>
      <c r="J24" s="1">
        <f>Vin*Table1[[#This Row],[Idc]]*Table1[[#This Row],[Time On]]</f>
        <v>7.1442000000000001E-4</v>
      </c>
      <c r="K24" s="1">
        <f>Table1[[#This Row],[Energy/Cycle]]-Table1[[#This Row],[Edc]]</f>
        <v>7.2235799999999985E-3</v>
      </c>
      <c r="L24" s="1">
        <f>2*Table1[[#This Row],[E Capacitor]]/(Vin^2-(Vin-V_ripple)^2)</f>
        <v>4.9561440823327641E-4</v>
      </c>
      <c r="M24" s="1">
        <f>Table1[[#This Row],[Energy/Cycle]]-(Table1[[#This Row],[E Capacitor]]+Table1[[#This Row],[Edc]])</f>
        <v>0</v>
      </c>
    </row>
    <row r="25" spans="1:13" x14ac:dyDescent="0.25">
      <c r="A25">
        <v>9.5000000000000001E-2</v>
      </c>
      <c r="B25">
        <f t="shared" si="0"/>
        <v>2.7929999999999997</v>
      </c>
      <c r="C25">
        <f t="shared" si="1"/>
        <v>2.1063874999999999</v>
      </c>
      <c r="D25">
        <f>Irms-Table1[[#This Row],[Ripple Current (A)]]</f>
        <v>27.8936125</v>
      </c>
      <c r="E25">
        <f>Irms+Table1[[#This Row],[Ripple Current (A)]]</f>
        <v>32.106387499999997</v>
      </c>
      <c r="F25">
        <f>Table1[[#This Row],[Vout]]*(Table1[[#This Row],[Imin]]+Table1[[#This Row],[Ripple Current (A)]])</f>
        <v>83.789999999999992</v>
      </c>
      <c r="G25" s="1">
        <f>Table1[[#This Row],[Pout]]/Frequency</f>
        <v>8.3789999999999993E-3</v>
      </c>
      <c r="H25" s="1">
        <f>Table1[[#This Row],[Duty]]/Frequency</f>
        <v>9.5000000000000005E-6</v>
      </c>
      <c r="I25" s="1">
        <f>Table1[[#This Row],[Pout]]/Vin</f>
        <v>2.85</v>
      </c>
      <c r="J25" s="1">
        <f>Vin*Table1[[#This Row],[Idc]]*Table1[[#This Row],[Time On]]</f>
        <v>7.9600500000000002E-4</v>
      </c>
      <c r="K25" s="1">
        <f>Table1[[#This Row],[Energy/Cycle]]-Table1[[#This Row],[Edc]]</f>
        <v>7.5829949999999995E-3</v>
      </c>
      <c r="L25" s="1">
        <f>2*Table1[[#This Row],[E Capacitor]]/(Vin^2-(Vin-V_ripple)^2)</f>
        <v>5.2027409948542059E-4</v>
      </c>
      <c r="M25" s="1">
        <f>Table1[[#This Row],[Energy/Cycle]]-(Table1[[#This Row],[E Capacitor]]+Table1[[#This Row],[Edc]])</f>
        <v>0</v>
      </c>
    </row>
    <row r="26" spans="1:13" x14ac:dyDescent="0.25">
      <c r="A26">
        <v>0.1</v>
      </c>
      <c r="B26">
        <f t="shared" si="0"/>
        <v>2.94</v>
      </c>
      <c r="C26">
        <f t="shared" si="1"/>
        <v>2.2050000000000001</v>
      </c>
      <c r="D26">
        <f>Irms-Table1[[#This Row],[Ripple Current (A)]]</f>
        <v>27.795000000000002</v>
      </c>
      <c r="E26">
        <f>Irms+Table1[[#This Row],[Ripple Current (A)]]</f>
        <v>32.204999999999998</v>
      </c>
      <c r="F26">
        <f>Table1[[#This Row],[Vout]]*(Table1[[#This Row],[Imin]]+Table1[[#This Row],[Ripple Current (A)]])</f>
        <v>88.2</v>
      </c>
      <c r="G26" s="1">
        <f>Table1[[#This Row],[Pout]]/Frequency</f>
        <v>8.8199999999999997E-3</v>
      </c>
      <c r="H26" s="1">
        <f>Table1[[#This Row],[Duty]]/Frequency</f>
        <v>1.0000000000000001E-5</v>
      </c>
      <c r="I26" s="1">
        <f>Table1[[#This Row],[Pout]]/Vin</f>
        <v>3.0000000000000004</v>
      </c>
      <c r="J26" s="1">
        <f>Vin*Table1[[#This Row],[Idc]]*Table1[[#This Row],[Time On]]</f>
        <v>8.8200000000000008E-4</v>
      </c>
      <c r="K26" s="1">
        <f>Table1[[#This Row],[Energy/Cycle]]-Table1[[#This Row],[Edc]]</f>
        <v>7.9379999999999989E-3</v>
      </c>
      <c r="L26" s="1">
        <f>2*Table1[[#This Row],[E Capacitor]]/(Vin^2-(Vin-V_ripple)^2)</f>
        <v>5.4463121783876532E-4</v>
      </c>
      <c r="M26" s="1">
        <f>Table1[[#This Row],[Energy/Cycle]]-(Table1[[#This Row],[E Capacitor]]+Table1[[#This Row],[Edc]])</f>
        <v>0</v>
      </c>
    </row>
    <row r="27" spans="1:13" x14ac:dyDescent="0.25">
      <c r="A27">
        <v>0.105</v>
      </c>
      <c r="B27">
        <f t="shared" si="0"/>
        <v>3.0869999999999997</v>
      </c>
      <c r="C27">
        <f t="shared" si="1"/>
        <v>2.3023875</v>
      </c>
      <c r="D27">
        <f>Irms-Table1[[#This Row],[Ripple Current (A)]]</f>
        <v>27.697612499999998</v>
      </c>
      <c r="E27">
        <f>Irms+Table1[[#This Row],[Ripple Current (A)]]</f>
        <v>32.302387500000002</v>
      </c>
      <c r="F27">
        <f>Table1[[#This Row],[Vout]]*(Table1[[#This Row],[Imin]]+Table1[[#This Row],[Ripple Current (A)]])</f>
        <v>92.609999999999985</v>
      </c>
      <c r="G27" s="1">
        <f>Table1[[#This Row],[Pout]]/Frequency</f>
        <v>9.2609999999999984E-3</v>
      </c>
      <c r="H27" s="1">
        <f>Table1[[#This Row],[Duty]]/Frequency</f>
        <v>1.0499999999999999E-5</v>
      </c>
      <c r="I27" s="1">
        <f>Table1[[#This Row],[Pout]]/Vin</f>
        <v>3.1499999999999995</v>
      </c>
      <c r="J27" s="1">
        <f>Vin*Table1[[#This Row],[Idc]]*Table1[[#This Row],[Time On]]</f>
        <v>9.7240499999999975E-4</v>
      </c>
      <c r="K27" s="1">
        <f>Table1[[#This Row],[Energy/Cycle]]-Table1[[#This Row],[Edc]]</f>
        <v>8.2885949999999993E-3</v>
      </c>
      <c r="L27" s="1">
        <f>2*Table1[[#This Row],[E Capacitor]]/(Vin^2-(Vin-V_ripple)^2)</f>
        <v>5.6868576329331081E-4</v>
      </c>
      <c r="M27" s="1">
        <f>Table1[[#This Row],[Energy/Cycle]]-(Table1[[#This Row],[E Capacitor]]+Table1[[#This Row],[Edc]])</f>
        <v>0</v>
      </c>
    </row>
    <row r="28" spans="1:13" x14ac:dyDescent="0.25">
      <c r="A28">
        <v>0.11</v>
      </c>
      <c r="B28">
        <f t="shared" si="0"/>
        <v>3.234</v>
      </c>
      <c r="C28">
        <f t="shared" si="1"/>
        <v>2.3985499999999997</v>
      </c>
      <c r="D28">
        <f>Irms-Table1[[#This Row],[Ripple Current (A)]]</f>
        <v>27.60145</v>
      </c>
      <c r="E28">
        <f>Irms+Table1[[#This Row],[Ripple Current (A)]]</f>
        <v>32.39855</v>
      </c>
      <c r="F28">
        <f>Table1[[#This Row],[Vout]]*(Table1[[#This Row],[Imin]]+Table1[[#This Row],[Ripple Current (A)]])</f>
        <v>97.02</v>
      </c>
      <c r="G28" s="1">
        <f>Table1[[#This Row],[Pout]]/Frequency</f>
        <v>9.7019999999999988E-3</v>
      </c>
      <c r="H28" s="1">
        <f>Table1[[#This Row],[Duty]]/Frequency</f>
        <v>1.1E-5</v>
      </c>
      <c r="I28" s="1">
        <f>Table1[[#This Row],[Pout]]/Vin</f>
        <v>3.3</v>
      </c>
      <c r="J28" s="1">
        <f>Vin*Table1[[#This Row],[Idc]]*Table1[[#This Row],[Time On]]</f>
        <v>1.06722E-3</v>
      </c>
      <c r="K28" s="1">
        <f>Table1[[#This Row],[Energy/Cycle]]-Table1[[#This Row],[Edc]]</f>
        <v>8.6347799999999982E-3</v>
      </c>
      <c r="L28" s="1">
        <f>2*Table1[[#This Row],[E Capacitor]]/(Vin^2-(Vin-V_ripple)^2)</f>
        <v>5.9243773584905695E-4</v>
      </c>
      <c r="M28" s="1">
        <f>Table1[[#This Row],[Energy/Cycle]]-(Table1[[#This Row],[E Capacitor]]+Table1[[#This Row],[Edc]])</f>
        <v>0</v>
      </c>
    </row>
    <row r="29" spans="1:13" x14ac:dyDescent="0.25">
      <c r="A29">
        <v>0.115</v>
      </c>
      <c r="B29">
        <f t="shared" si="0"/>
        <v>3.3809999999999998</v>
      </c>
      <c r="C29">
        <f t="shared" si="1"/>
        <v>2.4934875000000001</v>
      </c>
      <c r="D29">
        <f>Irms-Table1[[#This Row],[Ripple Current (A)]]</f>
        <v>27.506512499999999</v>
      </c>
      <c r="E29">
        <f>Irms+Table1[[#This Row],[Ripple Current (A)]]</f>
        <v>32.493487500000001</v>
      </c>
      <c r="F29">
        <f>Table1[[#This Row],[Vout]]*(Table1[[#This Row],[Imin]]+Table1[[#This Row],[Ripple Current (A)]])</f>
        <v>101.42999999999999</v>
      </c>
      <c r="G29" s="1">
        <f>Table1[[#This Row],[Pout]]/Frequency</f>
        <v>1.0142999999999999E-2</v>
      </c>
      <c r="H29" s="1">
        <f>Table1[[#This Row],[Duty]]/Frequency</f>
        <v>1.15E-5</v>
      </c>
      <c r="I29" s="1">
        <f>Table1[[#This Row],[Pout]]/Vin</f>
        <v>3.4499999999999997</v>
      </c>
      <c r="J29" s="1">
        <f>Vin*Table1[[#This Row],[Idc]]*Table1[[#This Row],[Time On]]</f>
        <v>1.1664449999999999E-3</v>
      </c>
      <c r="K29" s="1">
        <f>Table1[[#This Row],[Energy/Cycle]]-Table1[[#This Row],[Edc]]</f>
        <v>8.9765549999999989E-3</v>
      </c>
      <c r="L29" s="1">
        <f>2*Table1[[#This Row],[E Capacitor]]/(Vin^2-(Vin-V_ripple)^2)</f>
        <v>6.1588713550600385E-4</v>
      </c>
      <c r="M29" s="1">
        <f>Table1[[#This Row],[Energy/Cycle]]-(Table1[[#This Row],[E Capacitor]]+Table1[[#This Row],[Edc]])</f>
        <v>0</v>
      </c>
    </row>
    <row r="30" spans="1:13" x14ac:dyDescent="0.25">
      <c r="A30">
        <v>0.12</v>
      </c>
      <c r="B30">
        <f t="shared" si="0"/>
        <v>3.5279999999999996</v>
      </c>
      <c r="C30">
        <f t="shared" si="1"/>
        <v>2.5872000000000002</v>
      </c>
      <c r="D30">
        <f>Irms-Table1[[#This Row],[Ripple Current (A)]]</f>
        <v>27.412800000000001</v>
      </c>
      <c r="E30">
        <f>Irms+Table1[[#This Row],[Ripple Current (A)]]</f>
        <v>32.587200000000003</v>
      </c>
      <c r="F30">
        <f>Table1[[#This Row],[Vout]]*(Table1[[#This Row],[Imin]]+Table1[[#This Row],[Ripple Current (A)]])</f>
        <v>105.83999999999999</v>
      </c>
      <c r="G30" s="1">
        <f>Table1[[#This Row],[Pout]]/Frequency</f>
        <v>1.0584E-2</v>
      </c>
      <c r="H30" s="1">
        <f>Table1[[#This Row],[Duty]]/Frequency</f>
        <v>1.2E-5</v>
      </c>
      <c r="I30" s="1">
        <f>Table1[[#This Row],[Pout]]/Vin</f>
        <v>3.5999999999999996</v>
      </c>
      <c r="J30" s="1">
        <f>Vin*Table1[[#This Row],[Idc]]*Table1[[#This Row],[Time On]]</f>
        <v>1.2700799999999998E-3</v>
      </c>
      <c r="K30" s="1">
        <f>Table1[[#This Row],[Energy/Cycle]]-Table1[[#This Row],[Edc]]</f>
        <v>9.3139199999999998E-3</v>
      </c>
      <c r="L30" s="1">
        <f>2*Table1[[#This Row],[E Capacitor]]/(Vin^2-(Vin-V_ripple)^2)</f>
        <v>6.390339622641514E-4</v>
      </c>
      <c r="M30" s="1">
        <f>Table1[[#This Row],[Energy/Cycle]]-(Table1[[#This Row],[E Capacitor]]+Table1[[#This Row],[Edc]])</f>
        <v>0</v>
      </c>
    </row>
    <row r="31" spans="1:13" x14ac:dyDescent="0.25">
      <c r="A31">
        <v>0.125</v>
      </c>
      <c r="B31">
        <f t="shared" si="0"/>
        <v>3.6749999999999998</v>
      </c>
      <c r="C31">
        <f t="shared" si="1"/>
        <v>2.6796875</v>
      </c>
      <c r="D31">
        <f>Irms-Table1[[#This Row],[Ripple Current (A)]]</f>
        <v>27.3203125</v>
      </c>
      <c r="E31">
        <f>Irms+Table1[[#This Row],[Ripple Current (A)]]</f>
        <v>32.6796875</v>
      </c>
      <c r="F31">
        <f>Table1[[#This Row],[Vout]]*(Table1[[#This Row],[Imin]]+Table1[[#This Row],[Ripple Current (A)]])</f>
        <v>110.25</v>
      </c>
      <c r="G31" s="1">
        <f>Table1[[#This Row],[Pout]]/Frequency</f>
        <v>1.1025E-2</v>
      </c>
      <c r="H31" s="1">
        <f>Table1[[#This Row],[Duty]]/Frequency</f>
        <v>1.2500000000000001E-5</v>
      </c>
      <c r="I31" s="1">
        <f>Table1[[#This Row],[Pout]]/Vin</f>
        <v>3.75</v>
      </c>
      <c r="J31" s="1">
        <f>Vin*Table1[[#This Row],[Idc]]*Table1[[#This Row],[Time On]]</f>
        <v>1.378125E-3</v>
      </c>
      <c r="K31" s="1">
        <f>Table1[[#This Row],[Energy/Cycle]]-Table1[[#This Row],[Edc]]</f>
        <v>9.6468749999999992E-3</v>
      </c>
      <c r="L31" s="1">
        <f>2*Table1[[#This Row],[E Capacitor]]/(Vin^2-(Vin-V_ripple)^2)</f>
        <v>6.618782161234996E-4</v>
      </c>
      <c r="M31" s="1">
        <f>Table1[[#This Row],[Energy/Cycle]]-(Table1[[#This Row],[E Capacitor]]+Table1[[#This Row],[Edc]])</f>
        <v>0</v>
      </c>
    </row>
    <row r="32" spans="1:13" x14ac:dyDescent="0.25">
      <c r="A32">
        <v>0.13</v>
      </c>
      <c r="B32">
        <f t="shared" si="0"/>
        <v>3.8220000000000001</v>
      </c>
      <c r="C32">
        <f t="shared" si="1"/>
        <v>2.7709500000000005</v>
      </c>
      <c r="D32">
        <f>Irms-Table1[[#This Row],[Ripple Current (A)]]</f>
        <v>27.229050000000001</v>
      </c>
      <c r="E32">
        <f>Irms+Table1[[#This Row],[Ripple Current (A)]]</f>
        <v>32.770949999999999</v>
      </c>
      <c r="F32">
        <f>Table1[[#This Row],[Vout]]*(Table1[[#This Row],[Imin]]+Table1[[#This Row],[Ripple Current (A)]])</f>
        <v>114.66</v>
      </c>
      <c r="G32" s="1">
        <f>Table1[[#This Row],[Pout]]/Frequency</f>
        <v>1.1466E-2</v>
      </c>
      <c r="H32" s="1">
        <f>Table1[[#This Row],[Duty]]/Frequency</f>
        <v>1.3000000000000001E-5</v>
      </c>
      <c r="I32" s="1">
        <f>Table1[[#This Row],[Pout]]/Vin</f>
        <v>3.9</v>
      </c>
      <c r="J32" s="1">
        <f>Vin*Table1[[#This Row],[Idc]]*Table1[[#This Row],[Time On]]</f>
        <v>1.49058E-3</v>
      </c>
      <c r="K32" s="1">
        <f>Table1[[#This Row],[Energy/Cycle]]-Table1[[#This Row],[Edc]]</f>
        <v>9.9754200000000005E-3</v>
      </c>
      <c r="L32" s="1">
        <f>2*Table1[[#This Row],[E Capacitor]]/(Vin^2-(Vin-V_ripple)^2)</f>
        <v>6.8441989708404856E-4</v>
      </c>
      <c r="M32" s="1">
        <f>Table1[[#This Row],[Energy/Cycle]]-(Table1[[#This Row],[E Capacitor]]+Table1[[#This Row],[Edc]])</f>
        <v>0</v>
      </c>
    </row>
    <row r="33" spans="1:13" x14ac:dyDescent="0.25">
      <c r="A33">
        <v>0.13500000000000001</v>
      </c>
      <c r="B33">
        <f t="shared" si="0"/>
        <v>3.9689999999999999</v>
      </c>
      <c r="C33">
        <f t="shared" si="1"/>
        <v>2.8609875000000002</v>
      </c>
      <c r="D33">
        <f>Irms-Table1[[#This Row],[Ripple Current (A)]]</f>
        <v>27.1390125</v>
      </c>
      <c r="E33">
        <f>Irms+Table1[[#This Row],[Ripple Current (A)]]</f>
        <v>32.8609875</v>
      </c>
      <c r="F33">
        <f>Table1[[#This Row],[Vout]]*(Table1[[#This Row],[Imin]]+Table1[[#This Row],[Ripple Current (A)]])</f>
        <v>119.07</v>
      </c>
      <c r="G33" s="1">
        <f>Table1[[#This Row],[Pout]]/Frequency</f>
        <v>1.1906999999999999E-2</v>
      </c>
      <c r="H33" s="1">
        <f>Table1[[#This Row],[Duty]]/Frequency</f>
        <v>1.3500000000000001E-5</v>
      </c>
      <c r="I33" s="1">
        <f>Table1[[#This Row],[Pout]]/Vin</f>
        <v>4.05</v>
      </c>
      <c r="J33" s="1">
        <f>Vin*Table1[[#This Row],[Idc]]*Table1[[#This Row],[Time On]]</f>
        <v>1.6074450000000001E-3</v>
      </c>
      <c r="K33" s="1">
        <f>Table1[[#This Row],[Energy/Cycle]]-Table1[[#This Row],[Edc]]</f>
        <v>1.0299554999999998E-2</v>
      </c>
      <c r="L33" s="1">
        <f>2*Table1[[#This Row],[E Capacitor]]/(Vin^2-(Vin-V_ripple)^2)</f>
        <v>7.0665900514579807E-4</v>
      </c>
      <c r="M33" s="1">
        <f>Table1[[#This Row],[Energy/Cycle]]-(Table1[[#This Row],[E Capacitor]]+Table1[[#This Row],[Edc]])</f>
        <v>0</v>
      </c>
    </row>
    <row r="34" spans="1:13" x14ac:dyDescent="0.25">
      <c r="A34">
        <v>0.14000000000000001</v>
      </c>
      <c r="B34">
        <f t="shared" si="0"/>
        <v>4.1160000000000005</v>
      </c>
      <c r="C34">
        <f t="shared" si="1"/>
        <v>2.9498000000000002</v>
      </c>
      <c r="D34">
        <f>Irms-Table1[[#This Row],[Ripple Current (A)]]</f>
        <v>27.0502</v>
      </c>
      <c r="E34">
        <f>Irms+Table1[[#This Row],[Ripple Current (A)]]</f>
        <v>32.949800000000003</v>
      </c>
      <c r="F34">
        <f>Table1[[#This Row],[Vout]]*(Table1[[#This Row],[Imin]]+Table1[[#This Row],[Ripple Current (A)]])</f>
        <v>123.48000000000002</v>
      </c>
      <c r="G34" s="1">
        <f>Table1[[#This Row],[Pout]]/Frequency</f>
        <v>1.2348000000000001E-2</v>
      </c>
      <c r="H34" s="1">
        <f>Table1[[#This Row],[Duty]]/Frequency</f>
        <v>1.4000000000000001E-5</v>
      </c>
      <c r="I34" s="1">
        <f>Table1[[#This Row],[Pout]]/Vin</f>
        <v>4.2000000000000011</v>
      </c>
      <c r="J34" s="1">
        <f>Vin*Table1[[#This Row],[Idc]]*Table1[[#This Row],[Time On]]</f>
        <v>1.7287200000000006E-3</v>
      </c>
      <c r="K34" s="1">
        <f>Table1[[#This Row],[Energy/Cycle]]-Table1[[#This Row],[Edc]]</f>
        <v>1.061928E-2</v>
      </c>
      <c r="L34" s="1">
        <f>2*Table1[[#This Row],[E Capacitor]]/(Vin^2-(Vin-V_ripple)^2)</f>
        <v>7.2859554030874844E-4</v>
      </c>
      <c r="M34" s="1">
        <f>Table1[[#This Row],[Energy/Cycle]]-(Table1[[#This Row],[E Capacitor]]+Table1[[#This Row],[Edc]])</f>
        <v>0</v>
      </c>
    </row>
    <row r="35" spans="1:13" x14ac:dyDescent="0.25">
      <c r="A35">
        <v>0.14499999999999999</v>
      </c>
      <c r="B35">
        <f t="shared" si="0"/>
        <v>4.2629999999999999</v>
      </c>
      <c r="C35">
        <f t="shared" si="1"/>
        <v>3.0373874999999999</v>
      </c>
      <c r="D35">
        <f>Irms-Table1[[#This Row],[Ripple Current (A)]]</f>
        <v>26.962612499999999</v>
      </c>
      <c r="E35">
        <f>Irms+Table1[[#This Row],[Ripple Current (A)]]</f>
        <v>33.037387500000001</v>
      </c>
      <c r="F35">
        <f>Table1[[#This Row],[Vout]]*(Table1[[#This Row],[Imin]]+Table1[[#This Row],[Ripple Current (A)]])</f>
        <v>127.89</v>
      </c>
      <c r="G35" s="1">
        <f>Table1[[#This Row],[Pout]]/Frequency</f>
        <v>1.2789E-2</v>
      </c>
      <c r="H35" s="1">
        <f>Table1[[#This Row],[Duty]]/Frequency</f>
        <v>1.4499999999999998E-5</v>
      </c>
      <c r="I35" s="1">
        <f>Table1[[#This Row],[Pout]]/Vin</f>
        <v>4.3500000000000005</v>
      </c>
      <c r="J35" s="1">
        <f>Vin*Table1[[#This Row],[Idc]]*Table1[[#This Row],[Time On]]</f>
        <v>1.8544049999999999E-3</v>
      </c>
      <c r="K35" s="1">
        <f>Table1[[#This Row],[Energy/Cycle]]-Table1[[#This Row],[Edc]]</f>
        <v>1.0934595E-2</v>
      </c>
      <c r="L35" s="1">
        <f>2*Table1[[#This Row],[E Capacitor]]/(Vin^2-(Vin-V_ripple)^2)</f>
        <v>7.5022950257289936E-4</v>
      </c>
      <c r="M35" s="1">
        <f>Table1[[#This Row],[Energy/Cycle]]-(Table1[[#This Row],[E Capacitor]]+Table1[[#This Row],[Edc]])</f>
        <v>0</v>
      </c>
    </row>
    <row r="36" spans="1:13" x14ac:dyDescent="0.25">
      <c r="A36">
        <v>0.15</v>
      </c>
      <c r="B36">
        <f t="shared" si="0"/>
        <v>4.4099999999999993</v>
      </c>
      <c r="C36">
        <f t="shared" si="1"/>
        <v>3.1237499999999998</v>
      </c>
      <c r="D36">
        <f>Irms-Table1[[#This Row],[Ripple Current (A)]]</f>
        <v>26.876249999999999</v>
      </c>
      <c r="E36">
        <f>Irms+Table1[[#This Row],[Ripple Current (A)]]</f>
        <v>33.123750000000001</v>
      </c>
      <c r="F36">
        <f>Table1[[#This Row],[Vout]]*(Table1[[#This Row],[Imin]]+Table1[[#This Row],[Ripple Current (A)]])</f>
        <v>132.29999999999998</v>
      </c>
      <c r="G36" s="1">
        <f>Table1[[#This Row],[Pout]]/Frequency</f>
        <v>1.3229999999999999E-2</v>
      </c>
      <c r="H36" s="1">
        <f>Table1[[#This Row],[Duty]]/Frequency</f>
        <v>1.4999999999999999E-5</v>
      </c>
      <c r="I36" s="1">
        <f>Table1[[#This Row],[Pout]]/Vin</f>
        <v>4.5</v>
      </c>
      <c r="J36" s="1">
        <f>Vin*Table1[[#This Row],[Idc]]*Table1[[#This Row],[Time On]]</f>
        <v>1.9844999999999997E-3</v>
      </c>
      <c r="K36" s="1">
        <f>Table1[[#This Row],[Energy/Cycle]]-Table1[[#This Row],[Edc]]</f>
        <v>1.1245499999999999E-2</v>
      </c>
      <c r="L36" s="1">
        <f>2*Table1[[#This Row],[E Capacitor]]/(Vin^2-(Vin-V_ripple)^2)</f>
        <v>7.7156089193825092E-4</v>
      </c>
      <c r="M36" s="1">
        <f>Table1[[#This Row],[Energy/Cycle]]-(Table1[[#This Row],[E Capacitor]]+Table1[[#This Row],[Edc]])</f>
        <v>0</v>
      </c>
    </row>
    <row r="37" spans="1:13" x14ac:dyDescent="0.25">
      <c r="A37">
        <v>0.155</v>
      </c>
      <c r="B37">
        <f t="shared" si="0"/>
        <v>4.5569999999999995</v>
      </c>
      <c r="C37">
        <f t="shared" si="1"/>
        <v>3.2088874999999999</v>
      </c>
      <c r="D37">
        <f>Irms-Table1[[#This Row],[Ripple Current (A)]]</f>
        <v>26.791112500000001</v>
      </c>
      <c r="E37">
        <f>Irms+Table1[[#This Row],[Ripple Current (A)]]</f>
        <v>33.208887500000003</v>
      </c>
      <c r="F37">
        <f>Table1[[#This Row],[Vout]]*(Table1[[#This Row],[Imin]]+Table1[[#This Row],[Ripple Current (A)]])</f>
        <v>136.70999999999998</v>
      </c>
      <c r="G37" s="1">
        <f>Table1[[#This Row],[Pout]]/Frequency</f>
        <v>1.3670999999999997E-2</v>
      </c>
      <c r="H37" s="1">
        <f>Table1[[#This Row],[Duty]]/Frequency</f>
        <v>1.5500000000000001E-5</v>
      </c>
      <c r="I37" s="1">
        <f>Table1[[#This Row],[Pout]]/Vin</f>
        <v>4.6499999999999995</v>
      </c>
      <c r="J37" s="1">
        <f>Vin*Table1[[#This Row],[Idc]]*Table1[[#This Row],[Time On]]</f>
        <v>2.1190049999999998E-3</v>
      </c>
      <c r="K37" s="1">
        <f>Table1[[#This Row],[Energy/Cycle]]-Table1[[#This Row],[Edc]]</f>
        <v>1.1551994999999997E-2</v>
      </c>
      <c r="L37" s="1">
        <f>2*Table1[[#This Row],[E Capacitor]]/(Vin^2-(Vin-V_ripple)^2)</f>
        <v>7.9258970840480314E-4</v>
      </c>
      <c r="M37" s="1">
        <f>Table1[[#This Row],[Energy/Cycle]]-(Table1[[#This Row],[E Capacitor]]+Table1[[#This Row],[Edc]])</f>
        <v>0</v>
      </c>
    </row>
    <row r="38" spans="1:13" x14ac:dyDescent="0.25">
      <c r="A38">
        <v>0.16</v>
      </c>
      <c r="B38">
        <f t="shared" si="0"/>
        <v>4.7039999999999997</v>
      </c>
      <c r="C38">
        <f t="shared" si="1"/>
        <v>3.2927999999999997</v>
      </c>
      <c r="D38">
        <f>Irms-Table1[[#This Row],[Ripple Current (A)]]</f>
        <v>26.7072</v>
      </c>
      <c r="E38">
        <f>Irms+Table1[[#This Row],[Ripple Current (A)]]</f>
        <v>33.2928</v>
      </c>
      <c r="F38">
        <f>Table1[[#This Row],[Vout]]*(Table1[[#This Row],[Imin]]+Table1[[#This Row],[Ripple Current (A)]])</f>
        <v>141.12</v>
      </c>
      <c r="G38" s="1">
        <f>Table1[[#This Row],[Pout]]/Frequency</f>
        <v>1.4112000000000001E-2</v>
      </c>
      <c r="H38" s="1">
        <f>Table1[[#This Row],[Duty]]/Frequency</f>
        <v>1.5999999999999999E-5</v>
      </c>
      <c r="I38" s="1">
        <f>Table1[[#This Row],[Pout]]/Vin</f>
        <v>4.8000000000000007</v>
      </c>
      <c r="J38" s="1">
        <f>Vin*Table1[[#This Row],[Idc]]*Table1[[#This Row],[Time On]]</f>
        <v>2.2579200000000001E-3</v>
      </c>
      <c r="K38" s="1">
        <f>Table1[[#This Row],[Energy/Cycle]]-Table1[[#This Row],[Edc]]</f>
        <v>1.1854080000000001E-2</v>
      </c>
      <c r="L38" s="1">
        <f>2*Table1[[#This Row],[E Capacitor]]/(Vin^2-(Vin-V_ripple)^2)</f>
        <v>8.1331595197255645E-4</v>
      </c>
      <c r="M38" s="1">
        <f>Table1[[#This Row],[Energy/Cycle]]-(Table1[[#This Row],[E Capacitor]]+Table1[[#This Row],[Edc]])</f>
        <v>0</v>
      </c>
    </row>
    <row r="39" spans="1:13" x14ac:dyDescent="0.25">
      <c r="A39">
        <v>0.16500000000000001</v>
      </c>
      <c r="B39">
        <f t="shared" ref="B39:B70" si="2">A39*Vin</f>
        <v>4.851</v>
      </c>
      <c r="C39">
        <f t="shared" ref="C39:C70" si="3">(Vin-B39)*A39/(Frequency*Inductance)</f>
        <v>3.3754875000000002</v>
      </c>
      <c r="D39">
        <f>Irms-Table1[[#This Row],[Ripple Current (A)]]</f>
        <v>26.624512500000002</v>
      </c>
      <c r="E39">
        <f>Irms+Table1[[#This Row],[Ripple Current (A)]]</f>
        <v>33.375487499999998</v>
      </c>
      <c r="F39">
        <f>Table1[[#This Row],[Vout]]*(Table1[[#This Row],[Imin]]+Table1[[#This Row],[Ripple Current (A)]])</f>
        <v>145.53</v>
      </c>
      <c r="G39" s="1">
        <f>Table1[[#This Row],[Pout]]/Frequency</f>
        <v>1.4553E-2</v>
      </c>
      <c r="H39" s="1">
        <f>Table1[[#This Row],[Duty]]/Frequency</f>
        <v>1.6500000000000001E-5</v>
      </c>
      <c r="I39" s="1">
        <f>Table1[[#This Row],[Pout]]/Vin</f>
        <v>4.95</v>
      </c>
      <c r="J39" s="1">
        <f>Vin*Table1[[#This Row],[Idc]]*Table1[[#This Row],[Time On]]</f>
        <v>2.4012450000000002E-3</v>
      </c>
      <c r="K39" s="1">
        <f>Table1[[#This Row],[Energy/Cycle]]-Table1[[#This Row],[Edc]]</f>
        <v>1.2151755E-2</v>
      </c>
      <c r="L39" s="1">
        <f>2*Table1[[#This Row],[E Capacitor]]/(Vin^2-(Vin-V_ripple)^2)</f>
        <v>8.3373962264151008E-4</v>
      </c>
      <c r="M39" s="1">
        <f>Table1[[#This Row],[Energy/Cycle]]-(Table1[[#This Row],[E Capacitor]]+Table1[[#This Row],[Edc]])</f>
        <v>0</v>
      </c>
    </row>
    <row r="40" spans="1:13" x14ac:dyDescent="0.25">
      <c r="A40">
        <v>0.17</v>
      </c>
      <c r="B40">
        <f t="shared" si="2"/>
        <v>4.9980000000000002</v>
      </c>
      <c r="C40">
        <f t="shared" si="3"/>
        <v>3.4569500000000004</v>
      </c>
      <c r="D40">
        <f>Irms-Table1[[#This Row],[Ripple Current (A)]]</f>
        <v>26.543050000000001</v>
      </c>
      <c r="E40">
        <f>Irms+Table1[[#This Row],[Ripple Current (A)]]</f>
        <v>33.456949999999999</v>
      </c>
      <c r="F40">
        <f>Table1[[#This Row],[Vout]]*(Table1[[#This Row],[Imin]]+Table1[[#This Row],[Ripple Current (A)]])</f>
        <v>149.94</v>
      </c>
      <c r="G40" s="1">
        <f>Table1[[#This Row],[Pout]]/Frequency</f>
        <v>1.4994E-2</v>
      </c>
      <c r="H40" s="1">
        <f>Table1[[#This Row],[Duty]]/Frequency</f>
        <v>1.7E-5</v>
      </c>
      <c r="I40" s="1">
        <f>Table1[[#This Row],[Pout]]/Vin</f>
        <v>5.1000000000000005</v>
      </c>
      <c r="J40" s="1">
        <f>Vin*Table1[[#This Row],[Idc]]*Table1[[#This Row],[Time On]]</f>
        <v>2.5489799999999997E-3</v>
      </c>
      <c r="K40" s="1">
        <f>Table1[[#This Row],[Energy/Cycle]]-Table1[[#This Row],[Edc]]</f>
        <v>1.2445020000000001E-2</v>
      </c>
      <c r="L40" s="1">
        <f>2*Table1[[#This Row],[E Capacitor]]/(Vin^2-(Vin-V_ripple)^2)</f>
        <v>8.5386072041166458E-4</v>
      </c>
      <c r="M40" s="1">
        <f>Table1[[#This Row],[Energy/Cycle]]-(Table1[[#This Row],[E Capacitor]]+Table1[[#This Row],[Edc]])</f>
        <v>0</v>
      </c>
    </row>
    <row r="41" spans="1:13" x14ac:dyDescent="0.25">
      <c r="A41">
        <v>0.17499999999999999</v>
      </c>
      <c r="B41">
        <f t="shared" si="2"/>
        <v>5.1449999999999996</v>
      </c>
      <c r="C41">
        <f t="shared" si="3"/>
        <v>3.5371874999999995</v>
      </c>
      <c r="D41">
        <f>Irms-Table1[[#This Row],[Ripple Current (A)]]</f>
        <v>26.462812500000002</v>
      </c>
      <c r="E41">
        <f>Irms+Table1[[#This Row],[Ripple Current (A)]]</f>
        <v>33.537187500000002</v>
      </c>
      <c r="F41">
        <f>Table1[[#This Row],[Vout]]*(Table1[[#This Row],[Imin]]+Table1[[#This Row],[Ripple Current (A)]])</f>
        <v>154.35</v>
      </c>
      <c r="G41" s="1">
        <f>Table1[[#This Row],[Pout]]/Frequency</f>
        <v>1.5434999999999999E-2</v>
      </c>
      <c r="H41" s="1">
        <f>Table1[[#This Row],[Duty]]/Frequency</f>
        <v>1.7499999999999998E-5</v>
      </c>
      <c r="I41" s="1">
        <f>Table1[[#This Row],[Pout]]/Vin</f>
        <v>5.25</v>
      </c>
      <c r="J41" s="1">
        <f>Vin*Table1[[#This Row],[Idc]]*Table1[[#This Row],[Time On]]</f>
        <v>2.7011249999999995E-3</v>
      </c>
      <c r="K41" s="1">
        <f>Table1[[#This Row],[Energy/Cycle]]-Table1[[#This Row],[Edc]]</f>
        <v>1.2733874999999999E-2</v>
      </c>
      <c r="L41" s="1">
        <f>2*Table1[[#This Row],[E Capacitor]]/(Vin^2-(Vin-V_ripple)^2)</f>
        <v>8.7367924528301941E-4</v>
      </c>
      <c r="M41" s="1">
        <f>Table1[[#This Row],[Energy/Cycle]]-(Table1[[#This Row],[E Capacitor]]+Table1[[#This Row],[Edc]])</f>
        <v>0</v>
      </c>
    </row>
    <row r="42" spans="1:13" x14ac:dyDescent="0.25">
      <c r="A42">
        <v>0.18</v>
      </c>
      <c r="B42">
        <f t="shared" si="2"/>
        <v>5.2919999999999998</v>
      </c>
      <c r="C42">
        <f t="shared" si="3"/>
        <v>3.6161999999999992</v>
      </c>
      <c r="D42">
        <f>Irms-Table1[[#This Row],[Ripple Current (A)]]</f>
        <v>26.383800000000001</v>
      </c>
      <c r="E42">
        <f>Irms+Table1[[#This Row],[Ripple Current (A)]]</f>
        <v>33.616199999999999</v>
      </c>
      <c r="F42">
        <f>Table1[[#This Row],[Vout]]*(Table1[[#This Row],[Imin]]+Table1[[#This Row],[Ripple Current (A)]])</f>
        <v>158.76</v>
      </c>
      <c r="G42" s="1">
        <f>Table1[[#This Row],[Pout]]/Frequency</f>
        <v>1.5875999999999998E-2</v>
      </c>
      <c r="H42" s="1">
        <f>Table1[[#This Row],[Duty]]/Frequency</f>
        <v>1.8E-5</v>
      </c>
      <c r="I42" s="1">
        <f>Table1[[#This Row],[Pout]]/Vin</f>
        <v>5.4</v>
      </c>
      <c r="J42" s="1">
        <f>Vin*Table1[[#This Row],[Idc]]*Table1[[#This Row],[Time On]]</f>
        <v>2.85768E-3</v>
      </c>
      <c r="K42" s="1">
        <f>Table1[[#This Row],[Energy/Cycle]]-Table1[[#This Row],[Edc]]</f>
        <v>1.3018319999999998E-2</v>
      </c>
      <c r="L42" s="1">
        <f>2*Table1[[#This Row],[E Capacitor]]/(Vin^2-(Vin-V_ripple)^2)</f>
        <v>8.9319519725557521E-4</v>
      </c>
      <c r="M42" s="1">
        <f>Table1[[#This Row],[Energy/Cycle]]-(Table1[[#This Row],[E Capacitor]]+Table1[[#This Row],[Edc]])</f>
        <v>0</v>
      </c>
    </row>
    <row r="43" spans="1:13" x14ac:dyDescent="0.25">
      <c r="A43">
        <v>0.185</v>
      </c>
      <c r="B43">
        <f t="shared" si="2"/>
        <v>5.4390000000000001</v>
      </c>
      <c r="C43">
        <f t="shared" si="3"/>
        <v>3.6939875</v>
      </c>
      <c r="D43">
        <f>Irms-Table1[[#This Row],[Ripple Current (A)]]</f>
        <v>26.306012500000001</v>
      </c>
      <c r="E43">
        <f>Irms+Table1[[#This Row],[Ripple Current (A)]]</f>
        <v>33.693987499999999</v>
      </c>
      <c r="F43">
        <f>Table1[[#This Row],[Vout]]*(Table1[[#This Row],[Imin]]+Table1[[#This Row],[Ripple Current (A)]])</f>
        <v>163.17000000000002</v>
      </c>
      <c r="G43" s="1">
        <f>Table1[[#This Row],[Pout]]/Frequency</f>
        <v>1.6317000000000002E-2</v>
      </c>
      <c r="H43" s="1">
        <f>Table1[[#This Row],[Duty]]/Frequency</f>
        <v>1.8499999999999999E-5</v>
      </c>
      <c r="I43" s="1">
        <f>Table1[[#This Row],[Pout]]/Vin</f>
        <v>5.5500000000000007</v>
      </c>
      <c r="J43" s="1">
        <f>Vin*Table1[[#This Row],[Idc]]*Table1[[#This Row],[Time On]]</f>
        <v>3.0186450000000004E-3</v>
      </c>
      <c r="K43" s="1">
        <f>Table1[[#This Row],[Energy/Cycle]]-Table1[[#This Row],[Edc]]</f>
        <v>1.3298355000000001E-2</v>
      </c>
      <c r="L43" s="1">
        <f>2*Table1[[#This Row],[E Capacitor]]/(Vin^2-(Vin-V_ripple)^2)</f>
        <v>9.1240857632933188E-4</v>
      </c>
      <c r="M43" s="1">
        <f>Table1[[#This Row],[Energy/Cycle]]-(Table1[[#This Row],[E Capacitor]]+Table1[[#This Row],[Edc]])</f>
        <v>0</v>
      </c>
    </row>
    <row r="44" spans="1:13" x14ac:dyDescent="0.25">
      <c r="A44">
        <v>0.19</v>
      </c>
      <c r="B44">
        <f t="shared" si="2"/>
        <v>5.5859999999999994</v>
      </c>
      <c r="C44">
        <f t="shared" si="3"/>
        <v>3.7705500000000001</v>
      </c>
      <c r="D44">
        <f>Irms-Table1[[#This Row],[Ripple Current (A)]]</f>
        <v>26.22945</v>
      </c>
      <c r="E44">
        <f>Irms+Table1[[#This Row],[Ripple Current (A)]]</f>
        <v>33.77055</v>
      </c>
      <c r="F44">
        <f>Table1[[#This Row],[Vout]]*(Table1[[#This Row],[Imin]]+Table1[[#This Row],[Ripple Current (A)]])</f>
        <v>167.57999999999998</v>
      </c>
      <c r="G44" s="1">
        <f>Table1[[#This Row],[Pout]]/Frequency</f>
        <v>1.6757999999999999E-2</v>
      </c>
      <c r="H44" s="1">
        <f>Table1[[#This Row],[Duty]]/Frequency</f>
        <v>1.9000000000000001E-5</v>
      </c>
      <c r="I44" s="1">
        <f>Table1[[#This Row],[Pout]]/Vin</f>
        <v>5.7</v>
      </c>
      <c r="J44" s="1">
        <f>Vin*Table1[[#This Row],[Idc]]*Table1[[#This Row],[Time On]]</f>
        <v>3.1840200000000001E-3</v>
      </c>
      <c r="K44" s="1">
        <f>Table1[[#This Row],[Energy/Cycle]]-Table1[[#This Row],[Edc]]</f>
        <v>1.3573979999999999E-2</v>
      </c>
      <c r="L44" s="1">
        <f>2*Table1[[#This Row],[E Capacitor]]/(Vin^2-(Vin-V_ripple)^2)</f>
        <v>9.3131938250428888E-4</v>
      </c>
      <c r="M44" s="1">
        <f>Table1[[#This Row],[Energy/Cycle]]-(Table1[[#This Row],[E Capacitor]]+Table1[[#This Row],[Edc]])</f>
        <v>0</v>
      </c>
    </row>
    <row r="45" spans="1:13" x14ac:dyDescent="0.25">
      <c r="A45">
        <v>0.19500000000000001</v>
      </c>
      <c r="B45">
        <f t="shared" si="2"/>
        <v>5.7329999999999997</v>
      </c>
      <c r="C45">
        <f t="shared" si="3"/>
        <v>3.8458874999999999</v>
      </c>
      <c r="D45">
        <f>Irms-Table1[[#This Row],[Ripple Current (A)]]</f>
        <v>26.1541125</v>
      </c>
      <c r="E45">
        <f>Irms+Table1[[#This Row],[Ripple Current (A)]]</f>
        <v>33.845887500000003</v>
      </c>
      <c r="F45">
        <f>Table1[[#This Row],[Vout]]*(Table1[[#This Row],[Imin]]+Table1[[#This Row],[Ripple Current (A)]])</f>
        <v>171.98999999999998</v>
      </c>
      <c r="G45" s="1">
        <f>Table1[[#This Row],[Pout]]/Frequency</f>
        <v>1.7198999999999999E-2</v>
      </c>
      <c r="H45" s="1">
        <f>Table1[[#This Row],[Duty]]/Frequency</f>
        <v>1.95E-5</v>
      </c>
      <c r="I45" s="1">
        <f>Table1[[#This Row],[Pout]]/Vin</f>
        <v>5.85</v>
      </c>
      <c r="J45" s="1">
        <f>Vin*Table1[[#This Row],[Idc]]*Table1[[#This Row],[Time On]]</f>
        <v>3.3538049999999996E-3</v>
      </c>
      <c r="K45" s="1">
        <f>Table1[[#This Row],[Energy/Cycle]]-Table1[[#This Row],[Edc]]</f>
        <v>1.3845194999999999E-2</v>
      </c>
      <c r="L45" s="1">
        <f>2*Table1[[#This Row],[E Capacitor]]/(Vin^2-(Vin-V_ripple)^2)</f>
        <v>9.4992761578044664E-4</v>
      </c>
      <c r="M45" s="1">
        <f>Table1[[#This Row],[Energy/Cycle]]-(Table1[[#This Row],[E Capacitor]]+Table1[[#This Row],[Edc]])</f>
        <v>0</v>
      </c>
    </row>
    <row r="46" spans="1:13" x14ac:dyDescent="0.25">
      <c r="A46">
        <v>0.2</v>
      </c>
      <c r="B46">
        <f t="shared" si="2"/>
        <v>5.88</v>
      </c>
      <c r="C46">
        <f t="shared" si="3"/>
        <v>3.92</v>
      </c>
      <c r="D46">
        <f>Irms-Table1[[#This Row],[Ripple Current (A)]]</f>
        <v>26.08</v>
      </c>
      <c r="E46">
        <f>Irms+Table1[[#This Row],[Ripple Current (A)]]</f>
        <v>33.92</v>
      </c>
      <c r="F46">
        <f>Table1[[#This Row],[Vout]]*(Table1[[#This Row],[Imin]]+Table1[[#This Row],[Ripple Current (A)]])</f>
        <v>176.4</v>
      </c>
      <c r="G46" s="1">
        <f>Table1[[#This Row],[Pout]]/Frequency</f>
        <v>1.7639999999999999E-2</v>
      </c>
      <c r="H46" s="1">
        <f>Table1[[#This Row],[Duty]]/Frequency</f>
        <v>2.0000000000000002E-5</v>
      </c>
      <c r="I46" s="1">
        <f>Table1[[#This Row],[Pout]]/Vin</f>
        <v>6.0000000000000009</v>
      </c>
      <c r="J46" s="1">
        <f>Vin*Table1[[#This Row],[Idc]]*Table1[[#This Row],[Time On]]</f>
        <v>3.5280000000000003E-3</v>
      </c>
      <c r="K46" s="1">
        <f>Table1[[#This Row],[Energy/Cycle]]-Table1[[#This Row],[Edc]]</f>
        <v>1.4112E-2</v>
      </c>
      <c r="L46" s="1">
        <f>2*Table1[[#This Row],[E Capacitor]]/(Vin^2-(Vin-V_ripple)^2)</f>
        <v>9.6823327615780516E-4</v>
      </c>
      <c r="M46" s="1">
        <f>Table1[[#This Row],[Energy/Cycle]]-(Table1[[#This Row],[E Capacitor]]+Table1[[#This Row],[Edc]])</f>
        <v>0</v>
      </c>
    </row>
    <row r="47" spans="1:13" x14ac:dyDescent="0.25">
      <c r="A47">
        <v>0.20499999999999999</v>
      </c>
      <c r="B47">
        <f t="shared" si="2"/>
        <v>6.0269999999999992</v>
      </c>
      <c r="C47">
        <f t="shared" si="3"/>
        <v>3.9928874999999997</v>
      </c>
      <c r="D47">
        <f>Irms-Table1[[#This Row],[Ripple Current (A)]]</f>
        <v>26.007112500000002</v>
      </c>
      <c r="E47">
        <f>Irms+Table1[[#This Row],[Ripple Current (A)]]</f>
        <v>33.992887500000002</v>
      </c>
      <c r="F47">
        <f>Table1[[#This Row],[Vout]]*(Table1[[#This Row],[Imin]]+Table1[[#This Row],[Ripple Current (A)]])</f>
        <v>180.80999999999997</v>
      </c>
      <c r="G47" s="1">
        <f>Table1[[#This Row],[Pout]]/Frequency</f>
        <v>1.8080999999999996E-2</v>
      </c>
      <c r="H47" s="1">
        <f>Table1[[#This Row],[Duty]]/Frequency</f>
        <v>2.05E-5</v>
      </c>
      <c r="I47" s="1">
        <f>Table1[[#This Row],[Pout]]/Vin</f>
        <v>6.1499999999999995</v>
      </c>
      <c r="J47" s="1">
        <f>Vin*Table1[[#This Row],[Idc]]*Table1[[#This Row],[Time On]]</f>
        <v>3.7066049999999995E-3</v>
      </c>
      <c r="K47" s="1">
        <f>Table1[[#This Row],[Energy/Cycle]]-Table1[[#This Row],[Edc]]</f>
        <v>1.4374394999999996E-2</v>
      </c>
      <c r="L47" s="1">
        <f>2*Table1[[#This Row],[E Capacitor]]/(Vin^2-(Vin-V_ripple)^2)</f>
        <v>9.8623636363636422E-4</v>
      </c>
      <c r="M47" s="1">
        <f>Table1[[#This Row],[Energy/Cycle]]-(Table1[[#This Row],[E Capacitor]]+Table1[[#This Row],[Edc]])</f>
        <v>0</v>
      </c>
    </row>
    <row r="48" spans="1:13" x14ac:dyDescent="0.25">
      <c r="A48">
        <v>0.21</v>
      </c>
      <c r="B48">
        <f t="shared" si="2"/>
        <v>6.1739999999999995</v>
      </c>
      <c r="C48">
        <f t="shared" si="3"/>
        <v>4.0645499999999997</v>
      </c>
      <c r="D48">
        <f>Irms-Table1[[#This Row],[Ripple Current (A)]]</f>
        <v>25.935449999999999</v>
      </c>
      <c r="E48">
        <f>Irms+Table1[[#This Row],[Ripple Current (A)]]</f>
        <v>34.064549999999997</v>
      </c>
      <c r="F48">
        <f>Table1[[#This Row],[Vout]]*(Table1[[#This Row],[Imin]]+Table1[[#This Row],[Ripple Current (A)]])</f>
        <v>185.21999999999997</v>
      </c>
      <c r="G48" s="1">
        <f>Table1[[#This Row],[Pout]]/Frequency</f>
        <v>1.8521999999999997E-2</v>
      </c>
      <c r="H48" s="1">
        <f>Table1[[#This Row],[Duty]]/Frequency</f>
        <v>2.0999999999999999E-5</v>
      </c>
      <c r="I48" s="1">
        <f>Table1[[#This Row],[Pout]]/Vin</f>
        <v>6.2999999999999989</v>
      </c>
      <c r="J48" s="1">
        <f>Vin*Table1[[#This Row],[Idc]]*Table1[[#This Row],[Time On]]</f>
        <v>3.889619999999999E-3</v>
      </c>
      <c r="K48" s="1">
        <f>Table1[[#This Row],[Energy/Cycle]]-Table1[[#This Row],[Edc]]</f>
        <v>1.4632379999999997E-2</v>
      </c>
      <c r="L48" s="1">
        <f>2*Table1[[#This Row],[E Capacitor]]/(Vin^2-(Vin-V_ripple)^2)</f>
        <v>1.0039368782161241E-3</v>
      </c>
      <c r="M48" s="1">
        <f>Table1[[#This Row],[Energy/Cycle]]-(Table1[[#This Row],[E Capacitor]]+Table1[[#This Row],[Edc]])</f>
        <v>0</v>
      </c>
    </row>
    <row r="49" spans="1:13" x14ac:dyDescent="0.25">
      <c r="A49">
        <v>0.215</v>
      </c>
      <c r="B49">
        <f t="shared" si="2"/>
        <v>6.3209999999999997</v>
      </c>
      <c r="C49">
        <f t="shared" si="3"/>
        <v>4.1349875000000003</v>
      </c>
      <c r="D49">
        <f>Irms-Table1[[#This Row],[Ripple Current (A)]]</f>
        <v>25.865012499999999</v>
      </c>
      <c r="E49">
        <f>Irms+Table1[[#This Row],[Ripple Current (A)]]</f>
        <v>34.134987500000001</v>
      </c>
      <c r="F49">
        <f>Table1[[#This Row],[Vout]]*(Table1[[#This Row],[Imin]]+Table1[[#This Row],[Ripple Current (A)]])</f>
        <v>189.63</v>
      </c>
      <c r="G49" s="1">
        <f>Table1[[#This Row],[Pout]]/Frequency</f>
        <v>1.8963000000000001E-2</v>
      </c>
      <c r="H49" s="1">
        <f>Table1[[#This Row],[Duty]]/Frequency</f>
        <v>2.1500000000000001E-5</v>
      </c>
      <c r="I49" s="1">
        <f>Table1[[#This Row],[Pout]]/Vin</f>
        <v>6.45</v>
      </c>
      <c r="J49" s="1">
        <f>Vin*Table1[[#This Row],[Idc]]*Table1[[#This Row],[Time On]]</f>
        <v>4.0770449999999996E-3</v>
      </c>
      <c r="K49" s="1">
        <f>Table1[[#This Row],[Energy/Cycle]]-Table1[[#This Row],[Edc]]</f>
        <v>1.4885955000000001E-2</v>
      </c>
      <c r="L49" s="1">
        <f>2*Table1[[#This Row],[E Capacitor]]/(Vin^2-(Vin-V_ripple)^2)</f>
        <v>1.0213348198970849E-3</v>
      </c>
      <c r="M49" s="1">
        <f>Table1[[#This Row],[Energy/Cycle]]-(Table1[[#This Row],[E Capacitor]]+Table1[[#This Row],[Edc]])</f>
        <v>0</v>
      </c>
    </row>
    <row r="50" spans="1:13" x14ac:dyDescent="0.25">
      <c r="A50">
        <v>0.22</v>
      </c>
      <c r="B50">
        <f t="shared" si="2"/>
        <v>6.468</v>
      </c>
      <c r="C50">
        <f t="shared" si="3"/>
        <v>4.2041999999999993</v>
      </c>
      <c r="D50">
        <f>Irms-Table1[[#This Row],[Ripple Current (A)]]</f>
        <v>25.7958</v>
      </c>
      <c r="E50">
        <f>Irms+Table1[[#This Row],[Ripple Current (A)]]</f>
        <v>34.2042</v>
      </c>
      <c r="F50">
        <f>Table1[[#This Row],[Vout]]*(Table1[[#This Row],[Imin]]+Table1[[#This Row],[Ripple Current (A)]])</f>
        <v>194.04</v>
      </c>
      <c r="G50" s="1">
        <f>Table1[[#This Row],[Pout]]/Frequency</f>
        <v>1.9403999999999998E-2</v>
      </c>
      <c r="H50" s="1">
        <f>Table1[[#This Row],[Duty]]/Frequency</f>
        <v>2.1999999999999999E-5</v>
      </c>
      <c r="I50" s="1">
        <f>Table1[[#This Row],[Pout]]/Vin</f>
        <v>6.6</v>
      </c>
      <c r="J50" s="1">
        <f>Vin*Table1[[#This Row],[Idc]]*Table1[[#This Row],[Time On]]</f>
        <v>4.2688800000000001E-3</v>
      </c>
      <c r="K50" s="1">
        <f>Table1[[#This Row],[Energy/Cycle]]-Table1[[#This Row],[Edc]]</f>
        <v>1.5135119999999998E-2</v>
      </c>
      <c r="L50" s="1">
        <f>2*Table1[[#This Row],[E Capacitor]]/(Vin^2-(Vin-V_ripple)^2)</f>
        <v>1.038430188679246E-3</v>
      </c>
      <c r="M50" s="1">
        <f>Table1[[#This Row],[Energy/Cycle]]-(Table1[[#This Row],[E Capacitor]]+Table1[[#This Row],[Edc]])</f>
        <v>0</v>
      </c>
    </row>
    <row r="51" spans="1:13" x14ac:dyDescent="0.25">
      <c r="A51">
        <v>0.22500000000000001</v>
      </c>
      <c r="B51">
        <f t="shared" si="2"/>
        <v>6.6150000000000002</v>
      </c>
      <c r="C51">
        <f t="shared" si="3"/>
        <v>4.2721875000000002</v>
      </c>
      <c r="D51">
        <f>Irms-Table1[[#This Row],[Ripple Current (A)]]</f>
        <v>25.727812499999999</v>
      </c>
      <c r="E51">
        <f>Irms+Table1[[#This Row],[Ripple Current (A)]]</f>
        <v>34.272187500000001</v>
      </c>
      <c r="F51">
        <f>Table1[[#This Row],[Vout]]*(Table1[[#This Row],[Imin]]+Table1[[#This Row],[Ripple Current (A)]])</f>
        <v>198.45000000000002</v>
      </c>
      <c r="G51" s="1">
        <f>Table1[[#This Row],[Pout]]/Frequency</f>
        <v>1.9845000000000002E-2</v>
      </c>
      <c r="H51" s="1">
        <f>Table1[[#This Row],[Duty]]/Frequency</f>
        <v>2.2500000000000001E-5</v>
      </c>
      <c r="I51" s="1">
        <f>Table1[[#This Row],[Pout]]/Vin</f>
        <v>6.7500000000000009</v>
      </c>
      <c r="J51" s="1">
        <f>Vin*Table1[[#This Row],[Idc]]*Table1[[#This Row],[Time On]]</f>
        <v>4.4651250000000003E-3</v>
      </c>
      <c r="K51" s="1">
        <f>Table1[[#This Row],[Energy/Cycle]]-Table1[[#This Row],[Edc]]</f>
        <v>1.5379875000000001E-2</v>
      </c>
      <c r="L51" s="1">
        <f>2*Table1[[#This Row],[E Capacitor]]/(Vin^2-(Vin-V_ripple)^2)</f>
        <v>1.0552229845626081E-3</v>
      </c>
      <c r="M51" s="1">
        <f>Table1[[#This Row],[Energy/Cycle]]-(Table1[[#This Row],[E Capacitor]]+Table1[[#This Row],[Edc]])</f>
        <v>0</v>
      </c>
    </row>
    <row r="52" spans="1:13" x14ac:dyDescent="0.25">
      <c r="A52">
        <v>0.23</v>
      </c>
      <c r="B52">
        <f t="shared" si="2"/>
        <v>6.7619999999999996</v>
      </c>
      <c r="C52">
        <f t="shared" si="3"/>
        <v>4.3389500000000005</v>
      </c>
      <c r="D52">
        <f>Irms-Table1[[#This Row],[Ripple Current (A)]]</f>
        <v>25.661049999999999</v>
      </c>
      <c r="E52">
        <f>Irms+Table1[[#This Row],[Ripple Current (A)]]</f>
        <v>34.338949999999997</v>
      </c>
      <c r="F52">
        <f>Table1[[#This Row],[Vout]]*(Table1[[#This Row],[Imin]]+Table1[[#This Row],[Ripple Current (A)]])</f>
        <v>202.85999999999999</v>
      </c>
      <c r="G52" s="1">
        <f>Table1[[#This Row],[Pout]]/Frequency</f>
        <v>2.0285999999999998E-2</v>
      </c>
      <c r="H52" s="1">
        <f>Table1[[#This Row],[Duty]]/Frequency</f>
        <v>2.3E-5</v>
      </c>
      <c r="I52" s="1">
        <f>Table1[[#This Row],[Pout]]/Vin</f>
        <v>6.8999999999999995</v>
      </c>
      <c r="J52" s="1">
        <f>Vin*Table1[[#This Row],[Idc]]*Table1[[#This Row],[Time On]]</f>
        <v>4.6657799999999996E-3</v>
      </c>
      <c r="K52" s="1">
        <f>Table1[[#This Row],[Energy/Cycle]]-Table1[[#This Row],[Edc]]</f>
        <v>1.5620219999999999E-2</v>
      </c>
      <c r="L52" s="1">
        <f>2*Table1[[#This Row],[E Capacitor]]/(Vin^2-(Vin-V_ripple)^2)</f>
        <v>1.0717132075471706E-3</v>
      </c>
      <c r="M52" s="1">
        <f>Table1[[#This Row],[Energy/Cycle]]-(Table1[[#This Row],[E Capacitor]]+Table1[[#This Row],[Edc]])</f>
        <v>0</v>
      </c>
    </row>
    <row r="53" spans="1:13" x14ac:dyDescent="0.25">
      <c r="A53">
        <v>0.23499999999999999</v>
      </c>
      <c r="B53">
        <f t="shared" si="2"/>
        <v>6.9089999999999989</v>
      </c>
      <c r="C53">
        <f t="shared" si="3"/>
        <v>4.4044875000000001</v>
      </c>
      <c r="D53">
        <f>Irms-Table1[[#This Row],[Ripple Current (A)]]</f>
        <v>25.595512499999998</v>
      </c>
      <c r="E53">
        <f>Irms+Table1[[#This Row],[Ripple Current (A)]]</f>
        <v>34.404487500000002</v>
      </c>
      <c r="F53">
        <f>Table1[[#This Row],[Vout]]*(Table1[[#This Row],[Imin]]+Table1[[#This Row],[Ripple Current (A)]])</f>
        <v>207.26999999999998</v>
      </c>
      <c r="G53" s="1">
        <f>Table1[[#This Row],[Pout]]/Frequency</f>
        <v>2.0726999999999999E-2</v>
      </c>
      <c r="H53" s="1">
        <f>Table1[[#This Row],[Duty]]/Frequency</f>
        <v>2.3499999999999999E-5</v>
      </c>
      <c r="I53" s="1">
        <f>Table1[[#This Row],[Pout]]/Vin</f>
        <v>7.05</v>
      </c>
      <c r="J53" s="1">
        <f>Vin*Table1[[#This Row],[Idc]]*Table1[[#This Row],[Time On]]</f>
        <v>4.8708449999999995E-3</v>
      </c>
      <c r="K53" s="1">
        <f>Table1[[#This Row],[Energy/Cycle]]-Table1[[#This Row],[Edc]]</f>
        <v>1.5856155E-2</v>
      </c>
      <c r="L53" s="1">
        <f>2*Table1[[#This Row],[E Capacitor]]/(Vin^2-(Vin-V_ripple)^2)</f>
        <v>1.087900857632934E-3</v>
      </c>
      <c r="M53" s="1">
        <f>Table1[[#This Row],[Energy/Cycle]]-(Table1[[#This Row],[E Capacitor]]+Table1[[#This Row],[Edc]])</f>
        <v>0</v>
      </c>
    </row>
    <row r="54" spans="1:13" x14ac:dyDescent="0.25">
      <c r="A54">
        <v>0.24</v>
      </c>
      <c r="B54">
        <f t="shared" si="2"/>
        <v>7.0559999999999992</v>
      </c>
      <c r="C54">
        <f t="shared" si="3"/>
        <v>4.4688000000000008</v>
      </c>
      <c r="D54">
        <f>Irms-Table1[[#This Row],[Ripple Current (A)]]</f>
        <v>25.531199999999998</v>
      </c>
      <c r="E54">
        <f>Irms+Table1[[#This Row],[Ripple Current (A)]]</f>
        <v>34.468800000000002</v>
      </c>
      <c r="F54">
        <f>Table1[[#This Row],[Vout]]*(Table1[[#This Row],[Imin]]+Table1[[#This Row],[Ripple Current (A)]])</f>
        <v>211.67999999999998</v>
      </c>
      <c r="G54" s="1">
        <f>Table1[[#This Row],[Pout]]/Frequency</f>
        <v>2.1167999999999999E-2</v>
      </c>
      <c r="H54" s="1">
        <f>Table1[[#This Row],[Duty]]/Frequency</f>
        <v>2.4000000000000001E-5</v>
      </c>
      <c r="I54" s="1">
        <f>Table1[[#This Row],[Pout]]/Vin</f>
        <v>7.1999999999999993</v>
      </c>
      <c r="J54" s="1">
        <f>Vin*Table1[[#This Row],[Idc]]*Table1[[#This Row],[Time On]]</f>
        <v>5.0803199999999993E-3</v>
      </c>
      <c r="K54" s="1">
        <f>Table1[[#This Row],[Energy/Cycle]]-Table1[[#This Row],[Edc]]</f>
        <v>1.608768E-2</v>
      </c>
      <c r="L54" s="1">
        <f>2*Table1[[#This Row],[E Capacitor]]/(Vin^2-(Vin-V_ripple)^2)</f>
        <v>1.1037859348198978E-3</v>
      </c>
      <c r="M54" s="1">
        <f>Table1[[#This Row],[Energy/Cycle]]-(Table1[[#This Row],[E Capacitor]]+Table1[[#This Row],[Edc]])</f>
        <v>0</v>
      </c>
    </row>
    <row r="55" spans="1:13" x14ac:dyDescent="0.25">
      <c r="A55">
        <v>0.245</v>
      </c>
      <c r="B55">
        <f t="shared" si="2"/>
        <v>7.2029999999999994</v>
      </c>
      <c r="C55">
        <f t="shared" si="3"/>
        <v>4.5318874999999998</v>
      </c>
      <c r="D55">
        <f>Irms-Table1[[#This Row],[Ripple Current (A)]]</f>
        <v>25.4681125</v>
      </c>
      <c r="E55">
        <f>Irms+Table1[[#This Row],[Ripple Current (A)]]</f>
        <v>34.531887499999996</v>
      </c>
      <c r="F55">
        <f>Table1[[#This Row],[Vout]]*(Table1[[#This Row],[Imin]]+Table1[[#This Row],[Ripple Current (A)]])</f>
        <v>216.08999999999997</v>
      </c>
      <c r="G55" s="1">
        <f>Table1[[#This Row],[Pout]]/Frequency</f>
        <v>2.1608999999999996E-2</v>
      </c>
      <c r="H55" s="1">
        <f>Table1[[#This Row],[Duty]]/Frequency</f>
        <v>2.4499999999999999E-5</v>
      </c>
      <c r="I55" s="1">
        <f>Table1[[#This Row],[Pout]]/Vin</f>
        <v>7.35</v>
      </c>
      <c r="J55" s="1">
        <f>Vin*Table1[[#This Row],[Idc]]*Table1[[#This Row],[Time On]]</f>
        <v>5.2942049999999989E-3</v>
      </c>
      <c r="K55" s="1">
        <f>Table1[[#This Row],[Energy/Cycle]]-Table1[[#This Row],[Edc]]</f>
        <v>1.6314794999999997E-2</v>
      </c>
      <c r="L55" s="1">
        <f>2*Table1[[#This Row],[E Capacitor]]/(Vin^2-(Vin-V_ripple)^2)</f>
        <v>1.1193684391080623E-3</v>
      </c>
      <c r="M55" s="1">
        <f>Table1[[#This Row],[Energy/Cycle]]-(Table1[[#This Row],[E Capacitor]]+Table1[[#This Row],[Edc]])</f>
        <v>0</v>
      </c>
    </row>
    <row r="56" spans="1:13" x14ac:dyDescent="0.25">
      <c r="A56">
        <v>0.25</v>
      </c>
      <c r="B56">
        <f t="shared" si="2"/>
        <v>7.35</v>
      </c>
      <c r="C56">
        <f t="shared" si="3"/>
        <v>4.59375</v>
      </c>
      <c r="D56">
        <f>Irms-Table1[[#This Row],[Ripple Current (A)]]</f>
        <v>25.40625</v>
      </c>
      <c r="E56">
        <f>Irms+Table1[[#This Row],[Ripple Current (A)]]</f>
        <v>34.59375</v>
      </c>
      <c r="F56">
        <f>Table1[[#This Row],[Vout]]*(Table1[[#This Row],[Imin]]+Table1[[#This Row],[Ripple Current (A)]])</f>
        <v>220.5</v>
      </c>
      <c r="G56" s="1">
        <f>Table1[[#This Row],[Pout]]/Frequency</f>
        <v>2.205E-2</v>
      </c>
      <c r="H56" s="1">
        <f>Table1[[#This Row],[Duty]]/Frequency</f>
        <v>2.5000000000000001E-5</v>
      </c>
      <c r="I56" s="1">
        <f>Table1[[#This Row],[Pout]]/Vin</f>
        <v>7.5</v>
      </c>
      <c r="J56" s="1">
        <f>Vin*Table1[[#This Row],[Idc]]*Table1[[#This Row],[Time On]]</f>
        <v>5.5125E-3</v>
      </c>
      <c r="K56" s="1">
        <f>Table1[[#This Row],[Energy/Cycle]]-Table1[[#This Row],[Edc]]</f>
        <v>1.65375E-2</v>
      </c>
      <c r="L56" s="1">
        <f>2*Table1[[#This Row],[E Capacitor]]/(Vin^2-(Vin-V_ripple)^2)</f>
        <v>1.1346483704974279E-3</v>
      </c>
      <c r="M56" s="1">
        <f>Table1[[#This Row],[Energy/Cycle]]-(Table1[[#This Row],[E Capacitor]]+Table1[[#This Row],[Edc]])</f>
        <v>0</v>
      </c>
    </row>
    <row r="57" spans="1:13" x14ac:dyDescent="0.25">
      <c r="A57">
        <v>0.255</v>
      </c>
      <c r="B57">
        <f t="shared" si="2"/>
        <v>7.4969999999999999</v>
      </c>
      <c r="C57">
        <f t="shared" si="3"/>
        <v>4.6543875000000003</v>
      </c>
      <c r="D57">
        <f>Irms-Table1[[#This Row],[Ripple Current (A)]]</f>
        <v>25.345612500000001</v>
      </c>
      <c r="E57">
        <f>Irms+Table1[[#This Row],[Ripple Current (A)]]</f>
        <v>34.654387499999999</v>
      </c>
      <c r="F57">
        <f>Table1[[#This Row],[Vout]]*(Table1[[#This Row],[Imin]]+Table1[[#This Row],[Ripple Current (A)]])</f>
        <v>224.91</v>
      </c>
      <c r="G57" s="1">
        <f>Table1[[#This Row],[Pout]]/Frequency</f>
        <v>2.2491000000000001E-2</v>
      </c>
      <c r="H57" s="1">
        <f>Table1[[#This Row],[Duty]]/Frequency</f>
        <v>2.55E-5</v>
      </c>
      <c r="I57" s="1">
        <f>Table1[[#This Row],[Pout]]/Vin</f>
        <v>7.65</v>
      </c>
      <c r="J57" s="1">
        <f>Vin*Table1[[#This Row],[Idc]]*Table1[[#This Row],[Time On]]</f>
        <v>5.7352050000000002E-3</v>
      </c>
      <c r="K57" s="1">
        <f>Table1[[#This Row],[Energy/Cycle]]-Table1[[#This Row],[Edc]]</f>
        <v>1.6755795E-2</v>
      </c>
      <c r="L57" s="1">
        <f>2*Table1[[#This Row],[E Capacitor]]/(Vin^2-(Vin-V_ripple)^2)</f>
        <v>1.1496257289879941E-3</v>
      </c>
      <c r="M57" s="1">
        <f>Table1[[#This Row],[Energy/Cycle]]-(Table1[[#This Row],[E Capacitor]]+Table1[[#This Row],[Edc]])</f>
        <v>0</v>
      </c>
    </row>
    <row r="58" spans="1:13" x14ac:dyDescent="0.25">
      <c r="A58">
        <v>0.26</v>
      </c>
      <c r="B58">
        <f t="shared" si="2"/>
        <v>7.6440000000000001</v>
      </c>
      <c r="C58">
        <f t="shared" si="3"/>
        <v>4.7138</v>
      </c>
      <c r="D58">
        <f>Irms-Table1[[#This Row],[Ripple Current (A)]]</f>
        <v>25.286200000000001</v>
      </c>
      <c r="E58">
        <f>Irms+Table1[[#This Row],[Ripple Current (A)]]</f>
        <v>34.713799999999999</v>
      </c>
      <c r="F58">
        <f>Table1[[#This Row],[Vout]]*(Table1[[#This Row],[Imin]]+Table1[[#This Row],[Ripple Current (A)]])</f>
        <v>229.32</v>
      </c>
      <c r="G58" s="1">
        <f>Table1[[#This Row],[Pout]]/Frequency</f>
        <v>2.2932000000000001E-2</v>
      </c>
      <c r="H58" s="1">
        <f>Table1[[#This Row],[Duty]]/Frequency</f>
        <v>2.6000000000000002E-5</v>
      </c>
      <c r="I58" s="1">
        <f>Table1[[#This Row],[Pout]]/Vin</f>
        <v>7.8</v>
      </c>
      <c r="J58" s="1">
        <f>Vin*Table1[[#This Row],[Idc]]*Table1[[#This Row],[Time On]]</f>
        <v>5.9623200000000001E-3</v>
      </c>
      <c r="K58" s="1">
        <f>Table1[[#This Row],[Energy/Cycle]]-Table1[[#This Row],[Edc]]</f>
        <v>1.6969680000000001E-2</v>
      </c>
      <c r="L58" s="1">
        <f>2*Table1[[#This Row],[E Capacitor]]/(Vin^2-(Vin-V_ripple)^2)</f>
        <v>1.1643005145797608E-3</v>
      </c>
      <c r="M58" s="1">
        <f>Table1[[#This Row],[Energy/Cycle]]-(Table1[[#This Row],[E Capacitor]]+Table1[[#This Row],[Edc]])</f>
        <v>0</v>
      </c>
    </row>
    <row r="59" spans="1:13" x14ac:dyDescent="0.25">
      <c r="A59">
        <v>0.26500000000000001</v>
      </c>
      <c r="B59">
        <f t="shared" si="2"/>
        <v>7.7910000000000004</v>
      </c>
      <c r="C59">
        <f t="shared" si="3"/>
        <v>4.7719874999999998</v>
      </c>
      <c r="D59">
        <f>Irms-Table1[[#This Row],[Ripple Current (A)]]</f>
        <v>25.228012499999998</v>
      </c>
      <c r="E59">
        <f>Irms+Table1[[#This Row],[Ripple Current (A)]]</f>
        <v>34.771987500000002</v>
      </c>
      <c r="F59">
        <f>Table1[[#This Row],[Vout]]*(Table1[[#This Row],[Imin]]+Table1[[#This Row],[Ripple Current (A)]])</f>
        <v>233.73000000000002</v>
      </c>
      <c r="G59" s="1">
        <f>Table1[[#This Row],[Pout]]/Frequency</f>
        <v>2.3373000000000001E-2</v>
      </c>
      <c r="H59" s="1">
        <f>Table1[[#This Row],[Duty]]/Frequency</f>
        <v>2.65E-5</v>
      </c>
      <c r="I59" s="1">
        <f>Table1[[#This Row],[Pout]]/Vin</f>
        <v>7.9500000000000011</v>
      </c>
      <c r="J59" s="1">
        <f>Vin*Table1[[#This Row],[Idc]]*Table1[[#This Row],[Time On]]</f>
        <v>6.1938450000000008E-3</v>
      </c>
      <c r="K59" s="1">
        <f>Table1[[#This Row],[Energy/Cycle]]-Table1[[#This Row],[Edc]]</f>
        <v>1.7179155000000002E-2</v>
      </c>
      <c r="L59" s="1">
        <f>2*Table1[[#This Row],[E Capacitor]]/(Vin^2-(Vin-V_ripple)^2)</f>
        <v>1.1786727272727283E-3</v>
      </c>
      <c r="M59" s="1">
        <f>Table1[[#This Row],[Energy/Cycle]]-(Table1[[#This Row],[E Capacitor]]+Table1[[#This Row],[Edc]])</f>
        <v>0</v>
      </c>
    </row>
    <row r="60" spans="1:13" x14ac:dyDescent="0.25">
      <c r="A60">
        <v>0.27</v>
      </c>
      <c r="B60">
        <f t="shared" si="2"/>
        <v>7.9379999999999997</v>
      </c>
      <c r="C60">
        <f t="shared" si="3"/>
        <v>4.8289499999999999</v>
      </c>
      <c r="D60">
        <f>Irms-Table1[[#This Row],[Ripple Current (A)]]</f>
        <v>25.171050000000001</v>
      </c>
      <c r="E60">
        <f>Irms+Table1[[#This Row],[Ripple Current (A)]]</f>
        <v>34.828949999999999</v>
      </c>
      <c r="F60">
        <f>Table1[[#This Row],[Vout]]*(Table1[[#This Row],[Imin]]+Table1[[#This Row],[Ripple Current (A)]])</f>
        <v>238.14</v>
      </c>
      <c r="G60" s="1">
        <f>Table1[[#This Row],[Pout]]/Frequency</f>
        <v>2.3813999999999998E-2</v>
      </c>
      <c r="H60" s="1">
        <f>Table1[[#This Row],[Duty]]/Frequency</f>
        <v>2.7000000000000002E-5</v>
      </c>
      <c r="I60" s="1">
        <f>Table1[[#This Row],[Pout]]/Vin</f>
        <v>8.1</v>
      </c>
      <c r="J60" s="1">
        <f>Vin*Table1[[#This Row],[Idc]]*Table1[[#This Row],[Time On]]</f>
        <v>6.4297800000000004E-3</v>
      </c>
      <c r="K60" s="1">
        <f>Table1[[#This Row],[Energy/Cycle]]-Table1[[#This Row],[Edc]]</f>
        <v>1.7384219999999999E-2</v>
      </c>
      <c r="L60" s="1">
        <f>2*Table1[[#This Row],[E Capacitor]]/(Vin^2-(Vin-V_ripple)^2)</f>
        <v>1.1927423670668963E-3</v>
      </c>
      <c r="M60" s="1">
        <f>Table1[[#This Row],[Energy/Cycle]]-(Table1[[#This Row],[E Capacitor]]+Table1[[#This Row],[Edc]])</f>
        <v>0</v>
      </c>
    </row>
    <row r="61" spans="1:13" x14ac:dyDescent="0.25">
      <c r="A61">
        <v>0.27500000000000002</v>
      </c>
      <c r="B61">
        <f t="shared" si="2"/>
        <v>8.0850000000000009</v>
      </c>
      <c r="C61">
        <f t="shared" si="3"/>
        <v>4.8846875000000001</v>
      </c>
      <c r="D61">
        <f>Irms-Table1[[#This Row],[Ripple Current (A)]]</f>
        <v>25.115312500000002</v>
      </c>
      <c r="E61">
        <f>Irms+Table1[[#This Row],[Ripple Current (A)]]</f>
        <v>34.884687499999998</v>
      </c>
      <c r="F61">
        <f>Table1[[#This Row],[Vout]]*(Table1[[#This Row],[Imin]]+Table1[[#This Row],[Ripple Current (A)]])</f>
        <v>242.55</v>
      </c>
      <c r="G61" s="1">
        <f>Table1[[#This Row],[Pout]]/Frequency</f>
        <v>2.4255000000000002E-2</v>
      </c>
      <c r="H61" s="1">
        <f>Table1[[#This Row],[Duty]]/Frequency</f>
        <v>2.7500000000000001E-5</v>
      </c>
      <c r="I61" s="1">
        <f>Table1[[#This Row],[Pout]]/Vin</f>
        <v>8.25</v>
      </c>
      <c r="J61" s="1">
        <f>Vin*Table1[[#This Row],[Idc]]*Table1[[#This Row],[Time On]]</f>
        <v>6.6701249999999998E-3</v>
      </c>
      <c r="K61" s="1">
        <f>Table1[[#This Row],[Energy/Cycle]]-Table1[[#This Row],[Edc]]</f>
        <v>1.7584875000000003E-2</v>
      </c>
      <c r="L61" s="1">
        <f>2*Table1[[#This Row],[E Capacitor]]/(Vin^2-(Vin-V_ripple)^2)</f>
        <v>1.2065094339622654E-3</v>
      </c>
      <c r="M61" s="1">
        <f>Table1[[#This Row],[Energy/Cycle]]-(Table1[[#This Row],[E Capacitor]]+Table1[[#This Row],[Edc]])</f>
        <v>0</v>
      </c>
    </row>
    <row r="62" spans="1:13" x14ac:dyDescent="0.25">
      <c r="A62">
        <v>0.28000000000000003</v>
      </c>
      <c r="B62">
        <f t="shared" si="2"/>
        <v>8.2320000000000011</v>
      </c>
      <c r="C62">
        <f t="shared" si="3"/>
        <v>4.9392000000000005</v>
      </c>
      <c r="D62">
        <f>Irms-Table1[[#This Row],[Ripple Current (A)]]</f>
        <v>25.0608</v>
      </c>
      <c r="E62">
        <f>Irms+Table1[[#This Row],[Ripple Current (A)]]</f>
        <v>34.9392</v>
      </c>
      <c r="F62">
        <f>Table1[[#This Row],[Vout]]*(Table1[[#This Row],[Imin]]+Table1[[#This Row],[Ripple Current (A)]])</f>
        <v>246.96000000000004</v>
      </c>
      <c r="G62" s="1">
        <f>Table1[[#This Row],[Pout]]/Frequency</f>
        <v>2.4696000000000003E-2</v>
      </c>
      <c r="H62" s="1">
        <f>Table1[[#This Row],[Duty]]/Frequency</f>
        <v>2.8000000000000003E-5</v>
      </c>
      <c r="I62" s="1">
        <f>Table1[[#This Row],[Pout]]/Vin</f>
        <v>8.4000000000000021</v>
      </c>
      <c r="J62" s="1">
        <f>Vin*Table1[[#This Row],[Idc]]*Table1[[#This Row],[Time On]]</f>
        <v>6.9148800000000026E-3</v>
      </c>
      <c r="K62" s="1">
        <f>Table1[[#This Row],[Energy/Cycle]]-Table1[[#This Row],[Edc]]</f>
        <v>1.7781120000000001E-2</v>
      </c>
      <c r="L62" s="1">
        <f>2*Table1[[#This Row],[E Capacitor]]/(Vin^2-(Vin-V_ripple)^2)</f>
        <v>1.2199739279588346E-3</v>
      </c>
      <c r="M62" s="1">
        <f>Table1[[#This Row],[Energy/Cycle]]-(Table1[[#This Row],[E Capacitor]]+Table1[[#This Row],[Edc]])</f>
        <v>0</v>
      </c>
    </row>
    <row r="63" spans="1:13" x14ac:dyDescent="0.25">
      <c r="A63">
        <v>0.28499999999999998</v>
      </c>
      <c r="B63">
        <f t="shared" si="2"/>
        <v>8.3789999999999996</v>
      </c>
      <c r="C63">
        <f t="shared" si="3"/>
        <v>4.9924874999999993</v>
      </c>
      <c r="D63">
        <f>Irms-Table1[[#This Row],[Ripple Current (A)]]</f>
        <v>25.007512500000001</v>
      </c>
      <c r="E63">
        <f>Irms+Table1[[#This Row],[Ripple Current (A)]]</f>
        <v>34.992487499999996</v>
      </c>
      <c r="F63">
        <f>Table1[[#This Row],[Vout]]*(Table1[[#This Row],[Imin]]+Table1[[#This Row],[Ripple Current (A)]])</f>
        <v>251.36999999999998</v>
      </c>
      <c r="G63" s="1">
        <f>Table1[[#This Row],[Pout]]/Frequency</f>
        <v>2.5136999999999996E-2</v>
      </c>
      <c r="H63" s="1">
        <f>Table1[[#This Row],[Duty]]/Frequency</f>
        <v>2.8499999999999998E-5</v>
      </c>
      <c r="I63" s="1">
        <f>Table1[[#This Row],[Pout]]/Vin</f>
        <v>8.5499999999999989</v>
      </c>
      <c r="J63" s="1">
        <f>Vin*Table1[[#This Row],[Idc]]*Table1[[#This Row],[Time On]]</f>
        <v>7.1640449999999982E-3</v>
      </c>
      <c r="K63" s="1">
        <f>Table1[[#This Row],[Energy/Cycle]]-Table1[[#This Row],[Edc]]</f>
        <v>1.7972954999999999E-2</v>
      </c>
      <c r="L63" s="1">
        <f>2*Table1[[#This Row],[E Capacitor]]/(Vin^2-(Vin-V_ripple)^2)</f>
        <v>1.2331358490566048E-3</v>
      </c>
      <c r="M63" s="1">
        <f>Table1[[#This Row],[Energy/Cycle]]-(Table1[[#This Row],[E Capacitor]]+Table1[[#This Row],[Edc]])</f>
        <v>0</v>
      </c>
    </row>
    <row r="64" spans="1:13" x14ac:dyDescent="0.25">
      <c r="A64">
        <v>0.28999999999999998</v>
      </c>
      <c r="B64">
        <f t="shared" si="2"/>
        <v>8.5259999999999998</v>
      </c>
      <c r="C64">
        <f t="shared" si="3"/>
        <v>5.0445500000000001</v>
      </c>
      <c r="D64">
        <f>Irms-Table1[[#This Row],[Ripple Current (A)]]</f>
        <v>24.955449999999999</v>
      </c>
      <c r="E64">
        <f>Irms+Table1[[#This Row],[Ripple Current (A)]]</f>
        <v>35.044550000000001</v>
      </c>
      <c r="F64">
        <f>Table1[[#This Row],[Vout]]*(Table1[[#This Row],[Imin]]+Table1[[#This Row],[Ripple Current (A)]])</f>
        <v>255.78</v>
      </c>
      <c r="G64" s="1">
        <f>Table1[[#This Row],[Pout]]/Frequency</f>
        <v>2.5578E-2</v>
      </c>
      <c r="H64" s="1">
        <f>Table1[[#This Row],[Duty]]/Frequency</f>
        <v>2.8999999999999997E-5</v>
      </c>
      <c r="I64" s="1">
        <f>Table1[[#This Row],[Pout]]/Vin</f>
        <v>8.7000000000000011</v>
      </c>
      <c r="J64" s="1">
        <f>Vin*Table1[[#This Row],[Idc]]*Table1[[#This Row],[Time On]]</f>
        <v>7.4176199999999998E-3</v>
      </c>
      <c r="K64" s="1">
        <f>Table1[[#This Row],[Energy/Cycle]]-Table1[[#This Row],[Edc]]</f>
        <v>1.816038E-2</v>
      </c>
      <c r="L64" s="1">
        <f>2*Table1[[#This Row],[E Capacitor]]/(Vin^2-(Vin-V_ripple)^2)</f>
        <v>1.2459951972555755E-3</v>
      </c>
      <c r="M64" s="1">
        <f>Table1[[#This Row],[Energy/Cycle]]-(Table1[[#This Row],[E Capacitor]]+Table1[[#This Row],[Edc]])</f>
        <v>0</v>
      </c>
    </row>
    <row r="65" spans="1:13" x14ac:dyDescent="0.25">
      <c r="A65">
        <v>0.29499999999999998</v>
      </c>
      <c r="B65">
        <f t="shared" si="2"/>
        <v>8.6729999999999983</v>
      </c>
      <c r="C65">
        <f t="shared" si="3"/>
        <v>5.0953875000000002</v>
      </c>
      <c r="D65">
        <f>Irms-Table1[[#This Row],[Ripple Current (A)]]</f>
        <v>24.904612499999999</v>
      </c>
      <c r="E65">
        <f>Irms+Table1[[#This Row],[Ripple Current (A)]]</f>
        <v>35.095387500000001</v>
      </c>
      <c r="F65">
        <f>Table1[[#This Row],[Vout]]*(Table1[[#This Row],[Imin]]+Table1[[#This Row],[Ripple Current (A)]])</f>
        <v>260.18999999999994</v>
      </c>
      <c r="G65" s="1">
        <f>Table1[[#This Row],[Pout]]/Frequency</f>
        <v>2.6018999999999994E-2</v>
      </c>
      <c r="H65" s="1">
        <f>Table1[[#This Row],[Duty]]/Frequency</f>
        <v>2.9499999999999999E-5</v>
      </c>
      <c r="I65" s="1">
        <f>Table1[[#This Row],[Pout]]/Vin</f>
        <v>8.8499999999999979</v>
      </c>
      <c r="J65" s="1">
        <f>Vin*Table1[[#This Row],[Idc]]*Table1[[#This Row],[Time On]]</f>
        <v>7.6756049999999977E-3</v>
      </c>
      <c r="K65" s="1">
        <f>Table1[[#This Row],[Energy/Cycle]]-Table1[[#This Row],[Edc]]</f>
        <v>1.8343394999999995E-2</v>
      </c>
      <c r="L65" s="1">
        <f>2*Table1[[#This Row],[E Capacitor]]/(Vin^2-(Vin-V_ripple)^2)</f>
        <v>1.2585519725557468E-3</v>
      </c>
      <c r="M65" s="1">
        <f>Table1[[#This Row],[Energy/Cycle]]-(Table1[[#This Row],[E Capacitor]]+Table1[[#This Row],[Edc]])</f>
        <v>0</v>
      </c>
    </row>
    <row r="66" spans="1:13" x14ac:dyDescent="0.25">
      <c r="A66">
        <v>0.3</v>
      </c>
      <c r="B66">
        <f t="shared" si="2"/>
        <v>8.8199999999999985</v>
      </c>
      <c r="C66">
        <f t="shared" si="3"/>
        <v>5.1449999999999996</v>
      </c>
      <c r="D66">
        <f>Irms-Table1[[#This Row],[Ripple Current (A)]]</f>
        <v>24.855</v>
      </c>
      <c r="E66">
        <f>Irms+Table1[[#This Row],[Ripple Current (A)]]</f>
        <v>35.144999999999996</v>
      </c>
      <c r="F66">
        <f>Table1[[#This Row],[Vout]]*(Table1[[#This Row],[Imin]]+Table1[[#This Row],[Ripple Current (A)]])</f>
        <v>264.59999999999997</v>
      </c>
      <c r="G66" s="1">
        <f>Table1[[#This Row],[Pout]]/Frequency</f>
        <v>2.6459999999999997E-2</v>
      </c>
      <c r="H66" s="1">
        <f>Table1[[#This Row],[Duty]]/Frequency</f>
        <v>2.9999999999999997E-5</v>
      </c>
      <c r="I66" s="1">
        <f>Table1[[#This Row],[Pout]]/Vin</f>
        <v>9</v>
      </c>
      <c r="J66" s="1">
        <f>Vin*Table1[[#This Row],[Idc]]*Table1[[#This Row],[Time On]]</f>
        <v>7.9379999999999989E-3</v>
      </c>
      <c r="K66" s="1">
        <f>Table1[[#This Row],[Energy/Cycle]]-Table1[[#This Row],[Edc]]</f>
        <v>1.8521999999999997E-2</v>
      </c>
      <c r="L66" s="1">
        <f>2*Table1[[#This Row],[E Capacitor]]/(Vin^2-(Vin-V_ripple)^2)</f>
        <v>1.2708061749571191E-3</v>
      </c>
      <c r="M66" s="1">
        <f>Table1[[#This Row],[Energy/Cycle]]-(Table1[[#This Row],[E Capacitor]]+Table1[[#This Row],[Edc]])</f>
        <v>0</v>
      </c>
    </row>
    <row r="67" spans="1:13" x14ac:dyDescent="0.25">
      <c r="A67">
        <v>0.30499999999999999</v>
      </c>
      <c r="B67">
        <f t="shared" si="2"/>
        <v>8.9669999999999987</v>
      </c>
      <c r="C67">
        <f t="shared" si="3"/>
        <v>5.1933875</v>
      </c>
      <c r="D67">
        <f>Irms-Table1[[#This Row],[Ripple Current (A)]]</f>
        <v>24.8066125</v>
      </c>
      <c r="E67">
        <f>Irms+Table1[[#This Row],[Ripple Current (A)]]</f>
        <v>35.1933875</v>
      </c>
      <c r="F67">
        <f>Table1[[#This Row],[Vout]]*(Table1[[#This Row],[Imin]]+Table1[[#This Row],[Ripple Current (A)]])</f>
        <v>269.01</v>
      </c>
      <c r="G67" s="1">
        <f>Table1[[#This Row],[Pout]]/Frequency</f>
        <v>2.6900999999999998E-2</v>
      </c>
      <c r="H67" s="1">
        <f>Table1[[#This Row],[Duty]]/Frequency</f>
        <v>3.0499999999999999E-5</v>
      </c>
      <c r="I67" s="1">
        <f>Table1[[#This Row],[Pout]]/Vin</f>
        <v>9.15</v>
      </c>
      <c r="J67" s="1">
        <f>Vin*Table1[[#This Row],[Idc]]*Table1[[#This Row],[Time On]]</f>
        <v>8.204804999999999E-3</v>
      </c>
      <c r="K67" s="1">
        <f>Table1[[#This Row],[Energy/Cycle]]-Table1[[#This Row],[Edc]]</f>
        <v>1.8696194999999999E-2</v>
      </c>
      <c r="L67" s="1">
        <f>2*Table1[[#This Row],[E Capacitor]]/(Vin^2-(Vin-V_ripple)^2)</f>
        <v>1.2827578044596923E-3</v>
      </c>
      <c r="M67" s="1">
        <f>Table1[[#This Row],[Energy/Cycle]]-(Table1[[#This Row],[E Capacitor]]+Table1[[#This Row],[Edc]])</f>
        <v>0</v>
      </c>
    </row>
    <row r="68" spans="1:13" x14ac:dyDescent="0.25">
      <c r="A68">
        <v>0.31</v>
      </c>
      <c r="B68">
        <f t="shared" si="2"/>
        <v>9.113999999999999</v>
      </c>
      <c r="C68">
        <f t="shared" si="3"/>
        <v>5.2405500000000007</v>
      </c>
      <c r="D68">
        <f>Irms-Table1[[#This Row],[Ripple Current (A)]]</f>
        <v>24.759450000000001</v>
      </c>
      <c r="E68">
        <f>Irms+Table1[[#This Row],[Ripple Current (A)]]</f>
        <v>35.240549999999999</v>
      </c>
      <c r="F68">
        <f>Table1[[#This Row],[Vout]]*(Table1[[#This Row],[Imin]]+Table1[[#This Row],[Ripple Current (A)]])</f>
        <v>273.41999999999996</v>
      </c>
      <c r="G68" s="1">
        <f>Table1[[#This Row],[Pout]]/Frequency</f>
        <v>2.7341999999999995E-2</v>
      </c>
      <c r="H68" s="1">
        <f>Table1[[#This Row],[Duty]]/Frequency</f>
        <v>3.1000000000000001E-5</v>
      </c>
      <c r="I68" s="1">
        <f>Table1[[#This Row],[Pout]]/Vin</f>
        <v>9.2999999999999989</v>
      </c>
      <c r="J68" s="1">
        <f>Vin*Table1[[#This Row],[Idc]]*Table1[[#This Row],[Time On]]</f>
        <v>8.476019999999999E-3</v>
      </c>
      <c r="K68" s="1">
        <f>Table1[[#This Row],[Energy/Cycle]]-Table1[[#This Row],[Edc]]</f>
        <v>1.8865979999999997E-2</v>
      </c>
      <c r="L68" s="1">
        <f>2*Table1[[#This Row],[E Capacitor]]/(Vin^2-(Vin-V_ripple)^2)</f>
        <v>1.2944068610634657E-3</v>
      </c>
      <c r="M68" s="1">
        <f>Table1[[#This Row],[Energy/Cycle]]-(Table1[[#This Row],[E Capacitor]]+Table1[[#This Row],[Edc]])</f>
        <v>0</v>
      </c>
    </row>
    <row r="69" spans="1:13" x14ac:dyDescent="0.25">
      <c r="A69">
        <v>0.315</v>
      </c>
      <c r="B69">
        <f t="shared" si="2"/>
        <v>9.2609999999999992</v>
      </c>
      <c r="C69">
        <f t="shared" si="3"/>
        <v>5.2864874999999998</v>
      </c>
      <c r="D69">
        <f>Irms-Table1[[#This Row],[Ripple Current (A)]]</f>
        <v>24.7135125</v>
      </c>
      <c r="E69">
        <f>Irms+Table1[[#This Row],[Ripple Current (A)]]</f>
        <v>35.2864875</v>
      </c>
      <c r="F69">
        <f>Table1[[#This Row],[Vout]]*(Table1[[#This Row],[Imin]]+Table1[[#This Row],[Ripple Current (A)]])</f>
        <v>277.83</v>
      </c>
      <c r="G69" s="1">
        <f>Table1[[#This Row],[Pout]]/Frequency</f>
        <v>2.7782999999999999E-2</v>
      </c>
      <c r="H69" s="1">
        <f>Table1[[#This Row],[Duty]]/Frequency</f>
        <v>3.15E-5</v>
      </c>
      <c r="I69" s="1">
        <f>Table1[[#This Row],[Pout]]/Vin</f>
        <v>9.4499999999999993</v>
      </c>
      <c r="J69" s="1">
        <f>Vin*Table1[[#This Row],[Idc]]*Table1[[#This Row],[Time On]]</f>
        <v>8.7516449999999989E-3</v>
      </c>
      <c r="K69" s="1">
        <f>Table1[[#This Row],[Energy/Cycle]]-Table1[[#This Row],[Edc]]</f>
        <v>1.9031355E-2</v>
      </c>
      <c r="L69" s="1">
        <f>2*Table1[[#This Row],[E Capacitor]]/(Vin^2-(Vin-V_ripple)^2)</f>
        <v>1.3057533447684401E-3</v>
      </c>
      <c r="M69" s="1">
        <f>Table1[[#This Row],[Energy/Cycle]]-(Table1[[#This Row],[E Capacitor]]+Table1[[#This Row],[Edc]])</f>
        <v>0</v>
      </c>
    </row>
    <row r="70" spans="1:13" x14ac:dyDescent="0.25">
      <c r="A70">
        <v>0.32</v>
      </c>
      <c r="B70">
        <f t="shared" si="2"/>
        <v>9.4079999999999995</v>
      </c>
      <c r="C70">
        <f t="shared" si="3"/>
        <v>5.3311999999999999</v>
      </c>
      <c r="D70">
        <f>Irms-Table1[[#This Row],[Ripple Current (A)]]</f>
        <v>24.668800000000001</v>
      </c>
      <c r="E70">
        <f>Irms+Table1[[#This Row],[Ripple Current (A)]]</f>
        <v>35.331200000000003</v>
      </c>
      <c r="F70">
        <f>Table1[[#This Row],[Vout]]*(Table1[[#This Row],[Imin]]+Table1[[#This Row],[Ripple Current (A)]])</f>
        <v>282.24</v>
      </c>
      <c r="G70" s="1">
        <f>Table1[[#This Row],[Pout]]/Frequency</f>
        <v>2.8224000000000003E-2</v>
      </c>
      <c r="H70" s="1">
        <f>Table1[[#This Row],[Duty]]/Frequency</f>
        <v>3.1999999999999999E-5</v>
      </c>
      <c r="I70" s="1">
        <f>Table1[[#This Row],[Pout]]/Vin</f>
        <v>9.6000000000000014</v>
      </c>
      <c r="J70" s="1">
        <f>Vin*Table1[[#This Row],[Idc]]*Table1[[#This Row],[Time On]]</f>
        <v>9.0316800000000003E-3</v>
      </c>
      <c r="K70" s="1">
        <f>Table1[[#This Row],[Energy/Cycle]]-Table1[[#This Row],[Edc]]</f>
        <v>1.9192320000000002E-2</v>
      </c>
      <c r="L70" s="1">
        <f>2*Table1[[#This Row],[E Capacitor]]/(Vin^2-(Vin-V_ripple)^2)</f>
        <v>1.3167972555746153E-3</v>
      </c>
      <c r="M70" s="1">
        <f>Table1[[#This Row],[Energy/Cycle]]-(Table1[[#This Row],[E Capacitor]]+Table1[[#This Row],[Edc]])</f>
        <v>0</v>
      </c>
    </row>
    <row r="71" spans="1:13" x14ac:dyDescent="0.25">
      <c r="A71">
        <v>0.32500000000000001</v>
      </c>
      <c r="B71">
        <f t="shared" ref="B71:B102" si="4">A71*Vin</f>
        <v>9.5549999999999997</v>
      </c>
      <c r="C71">
        <f t="shared" ref="C71:C102" si="5">(Vin-B71)*A71/(Frequency*Inductance)</f>
        <v>5.3746875000000003</v>
      </c>
      <c r="D71">
        <f>Irms-Table1[[#This Row],[Ripple Current (A)]]</f>
        <v>24.6253125</v>
      </c>
      <c r="E71">
        <f>Irms+Table1[[#This Row],[Ripple Current (A)]]</f>
        <v>35.3746875</v>
      </c>
      <c r="F71">
        <f>Table1[[#This Row],[Vout]]*(Table1[[#This Row],[Imin]]+Table1[[#This Row],[Ripple Current (A)]])</f>
        <v>286.64999999999998</v>
      </c>
      <c r="G71" s="1">
        <f>Table1[[#This Row],[Pout]]/Frequency</f>
        <v>2.8664999999999996E-2</v>
      </c>
      <c r="H71" s="1">
        <f>Table1[[#This Row],[Duty]]/Frequency</f>
        <v>3.2500000000000004E-5</v>
      </c>
      <c r="I71" s="1">
        <f>Table1[[#This Row],[Pout]]/Vin</f>
        <v>9.75</v>
      </c>
      <c r="J71" s="1">
        <f>Vin*Table1[[#This Row],[Idc]]*Table1[[#This Row],[Time On]]</f>
        <v>9.3161249999999998E-3</v>
      </c>
      <c r="K71" s="1">
        <f>Table1[[#This Row],[Energy/Cycle]]-Table1[[#This Row],[Edc]]</f>
        <v>1.9348874999999995E-2</v>
      </c>
      <c r="L71" s="1">
        <f>2*Table1[[#This Row],[E Capacitor]]/(Vin^2-(Vin-V_ripple)^2)</f>
        <v>1.3275385934819904E-3</v>
      </c>
      <c r="M71" s="1">
        <f>Table1[[#This Row],[Energy/Cycle]]-(Table1[[#This Row],[E Capacitor]]+Table1[[#This Row],[Edc]])</f>
        <v>0</v>
      </c>
    </row>
    <row r="72" spans="1:13" x14ac:dyDescent="0.25">
      <c r="A72">
        <v>0.33</v>
      </c>
      <c r="B72">
        <f t="shared" si="4"/>
        <v>9.702</v>
      </c>
      <c r="C72">
        <f t="shared" si="5"/>
        <v>5.4169500000000008</v>
      </c>
      <c r="D72">
        <f>Irms-Table1[[#This Row],[Ripple Current (A)]]</f>
        <v>24.58305</v>
      </c>
      <c r="E72">
        <f>Irms+Table1[[#This Row],[Ripple Current (A)]]</f>
        <v>35.41695</v>
      </c>
      <c r="F72">
        <f>Table1[[#This Row],[Vout]]*(Table1[[#This Row],[Imin]]+Table1[[#This Row],[Ripple Current (A)]])</f>
        <v>291.06</v>
      </c>
      <c r="G72" s="1">
        <f>Table1[[#This Row],[Pout]]/Frequency</f>
        <v>2.9106E-2</v>
      </c>
      <c r="H72" s="1">
        <f>Table1[[#This Row],[Duty]]/Frequency</f>
        <v>3.3000000000000003E-5</v>
      </c>
      <c r="I72" s="1">
        <f>Table1[[#This Row],[Pout]]/Vin</f>
        <v>9.9</v>
      </c>
      <c r="J72" s="1">
        <f>Vin*Table1[[#This Row],[Idc]]*Table1[[#This Row],[Time On]]</f>
        <v>9.6049800000000008E-3</v>
      </c>
      <c r="K72" s="1">
        <f>Table1[[#This Row],[Energy/Cycle]]-Table1[[#This Row],[Edc]]</f>
        <v>1.9501020000000001E-2</v>
      </c>
      <c r="L72" s="1">
        <f>2*Table1[[#This Row],[E Capacitor]]/(Vin^2-(Vin-V_ripple)^2)</f>
        <v>1.3379773584905671E-3</v>
      </c>
      <c r="M72" s="1">
        <f>Table1[[#This Row],[Energy/Cycle]]-(Table1[[#This Row],[E Capacitor]]+Table1[[#This Row],[Edc]])</f>
        <v>0</v>
      </c>
    </row>
    <row r="73" spans="1:13" x14ac:dyDescent="0.25">
      <c r="A73">
        <v>0.33500000000000002</v>
      </c>
      <c r="B73">
        <f t="shared" si="4"/>
        <v>9.8490000000000002</v>
      </c>
      <c r="C73">
        <f t="shared" si="5"/>
        <v>5.4579874999999998</v>
      </c>
      <c r="D73">
        <f>Irms-Table1[[#This Row],[Ripple Current (A)]]</f>
        <v>24.542012499999998</v>
      </c>
      <c r="E73">
        <f>Irms+Table1[[#This Row],[Ripple Current (A)]]</f>
        <v>35.457987500000002</v>
      </c>
      <c r="F73">
        <f>Table1[[#This Row],[Vout]]*(Table1[[#This Row],[Imin]]+Table1[[#This Row],[Ripple Current (A)]])</f>
        <v>295.47000000000003</v>
      </c>
      <c r="G73" s="1">
        <f>Table1[[#This Row],[Pout]]/Frequency</f>
        <v>2.9547000000000004E-2</v>
      </c>
      <c r="H73" s="1">
        <f>Table1[[#This Row],[Duty]]/Frequency</f>
        <v>3.3500000000000001E-5</v>
      </c>
      <c r="I73" s="1">
        <f>Table1[[#This Row],[Pout]]/Vin</f>
        <v>10.050000000000001</v>
      </c>
      <c r="J73" s="1">
        <f>Vin*Table1[[#This Row],[Idc]]*Table1[[#This Row],[Time On]]</f>
        <v>9.8982450000000017E-3</v>
      </c>
      <c r="K73" s="1">
        <f>Table1[[#This Row],[Energy/Cycle]]-Table1[[#This Row],[Edc]]</f>
        <v>1.9648755000000004E-2</v>
      </c>
      <c r="L73" s="1">
        <f>2*Table1[[#This Row],[E Capacitor]]/(Vin^2-(Vin-V_ripple)^2)</f>
        <v>1.3481135506003444E-3</v>
      </c>
      <c r="M73" s="1">
        <f>Table1[[#This Row],[Energy/Cycle]]-(Table1[[#This Row],[E Capacitor]]+Table1[[#This Row],[Edc]])</f>
        <v>0</v>
      </c>
    </row>
    <row r="74" spans="1:13" x14ac:dyDescent="0.25">
      <c r="A74">
        <v>0.34</v>
      </c>
      <c r="B74">
        <f t="shared" si="4"/>
        <v>9.9960000000000004</v>
      </c>
      <c r="C74">
        <f t="shared" si="5"/>
        <v>5.4977999999999998</v>
      </c>
      <c r="D74">
        <f>Irms-Table1[[#This Row],[Ripple Current (A)]]</f>
        <v>24.502200000000002</v>
      </c>
      <c r="E74">
        <f>Irms+Table1[[#This Row],[Ripple Current (A)]]</f>
        <v>35.497799999999998</v>
      </c>
      <c r="F74">
        <f>Table1[[#This Row],[Vout]]*(Table1[[#This Row],[Imin]]+Table1[[#This Row],[Ripple Current (A)]])</f>
        <v>299.88</v>
      </c>
      <c r="G74" s="1">
        <f>Table1[[#This Row],[Pout]]/Frequency</f>
        <v>2.9988000000000001E-2</v>
      </c>
      <c r="H74" s="1">
        <f>Table1[[#This Row],[Duty]]/Frequency</f>
        <v>3.4E-5</v>
      </c>
      <c r="I74" s="1">
        <f>Table1[[#This Row],[Pout]]/Vin</f>
        <v>10.200000000000001</v>
      </c>
      <c r="J74" s="1">
        <f>Vin*Table1[[#This Row],[Idc]]*Table1[[#This Row],[Time On]]</f>
        <v>1.0195919999999999E-2</v>
      </c>
      <c r="K74" s="1">
        <f>Table1[[#This Row],[Energy/Cycle]]-Table1[[#This Row],[Edc]]</f>
        <v>1.9792080000000004E-2</v>
      </c>
      <c r="L74" s="1">
        <f>2*Table1[[#This Row],[E Capacitor]]/(Vin^2-(Vin-V_ripple)^2)</f>
        <v>1.3579471698113221E-3</v>
      </c>
      <c r="M74" s="1">
        <f>Table1[[#This Row],[Energy/Cycle]]-(Table1[[#This Row],[E Capacitor]]+Table1[[#This Row],[Edc]])</f>
        <v>0</v>
      </c>
    </row>
    <row r="75" spans="1:13" x14ac:dyDescent="0.25">
      <c r="A75">
        <v>0.34499999999999997</v>
      </c>
      <c r="B75">
        <f t="shared" si="4"/>
        <v>10.142999999999999</v>
      </c>
      <c r="C75">
        <f t="shared" si="5"/>
        <v>5.5363874999999991</v>
      </c>
      <c r="D75">
        <f>Irms-Table1[[#This Row],[Ripple Current (A)]]</f>
        <v>24.4636125</v>
      </c>
      <c r="E75">
        <f>Irms+Table1[[#This Row],[Ripple Current (A)]]</f>
        <v>35.536387499999996</v>
      </c>
      <c r="F75">
        <f>Table1[[#This Row],[Vout]]*(Table1[[#This Row],[Imin]]+Table1[[#This Row],[Ripple Current (A)]])</f>
        <v>304.28999999999996</v>
      </c>
      <c r="G75" s="1">
        <f>Table1[[#This Row],[Pout]]/Frequency</f>
        <v>3.0428999999999998E-2</v>
      </c>
      <c r="H75" s="1">
        <f>Table1[[#This Row],[Duty]]/Frequency</f>
        <v>3.4499999999999998E-5</v>
      </c>
      <c r="I75" s="1">
        <f>Table1[[#This Row],[Pout]]/Vin</f>
        <v>10.35</v>
      </c>
      <c r="J75" s="1">
        <f>Vin*Table1[[#This Row],[Idc]]*Table1[[#This Row],[Time On]]</f>
        <v>1.0498004999999998E-2</v>
      </c>
      <c r="K75" s="1">
        <f>Table1[[#This Row],[Energy/Cycle]]-Table1[[#This Row],[Edc]]</f>
        <v>1.9930995E-2</v>
      </c>
      <c r="L75" s="1">
        <f>2*Table1[[#This Row],[E Capacitor]]/(Vin^2-(Vin-V_ripple)^2)</f>
        <v>1.3674782161235003E-3</v>
      </c>
      <c r="M75" s="1">
        <f>Table1[[#This Row],[Energy/Cycle]]-(Table1[[#This Row],[E Capacitor]]+Table1[[#This Row],[Edc]])</f>
        <v>0</v>
      </c>
    </row>
    <row r="76" spans="1:13" x14ac:dyDescent="0.25">
      <c r="A76">
        <v>0.35</v>
      </c>
      <c r="B76">
        <f t="shared" si="4"/>
        <v>10.29</v>
      </c>
      <c r="C76">
        <f t="shared" si="5"/>
        <v>5.5737499999999995</v>
      </c>
      <c r="D76">
        <f>Irms-Table1[[#This Row],[Ripple Current (A)]]</f>
        <v>24.42625</v>
      </c>
      <c r="E76">
        <f>Irms+Table1[[#This Row],[Ripple Current (A)]]</f>
        <v>35.573749999999997</v>
      </c>
      <c r="F76">
        <f>Table1[[#This Row],[Vout]]*(Table1[[#This Row],[Imin]]+Table1[[#This Row],[Ripple Current (A)]])</f>
        <v>308.7</v>
      </c>
      <c r="G76" s="1">
        <f>Table1[[#This Row],[Pout]]/Frequency</f>
        <v>3.0869999999999998E-2</v>
      </c>
      <c r="H76" s="1">
        <f>Table1[[#This Row],[Duty]]/Frequency</f>
        <v>3.4999999999999997E-5</v>
      </c>
      <c r="I76" s="1">
        <f>Table1[[#This Row],[Pout]]/Vin</f>
        <v>10.5</v>
      </c>
      <c r="J76" s="1">
        <f>Vin*Table1[[#This Row],[Idc]]*Table1[[#This Row],[Time On]]</f>
        <v>1.0804499999999998E-2</v>
      </c>
      <c r="K76" s="1">
        <f>Table1[[#This Row],[Energy/Cycle]]-Table1[[#This Row],[Edc]]</f>
        <v>2.00655E-2</v>
      </c>
      <c r="L76" s="1">
        <f>2*Table1[[#This Row],[E Capacitor]]/(Vin^2-(Vin-V_ripple)^2)</f>
        <v>1.3767066895368793E-3</v>
      </c>
      <c r="M76" s="1">
        <f>Table1[[#This Row],[Energy/Cycle]]-(Table1[[#This Row],[E Capacitor]]+Table1[[#This Row],[Edc]])</f>
        <v>0</v>
      </c>
    </row>
    <row r="77" spans="1:13" x14ac:dyDescent="0.25">
      <c r="A77">
        <v>0.35499999999999998</v>
      </c>
      <c r="B77">
        <f t="shared" si="4"/>
        <v>10.436999999999999</v>
      </c>
      <c r="C77">
        <f t="shared" si="5"/>
        <v>5.6098875000000001</v>
      </c>
      <c r="D77">
        <f>Irms-Table1[[#This Row],[Ripple Current (A)]]</f>
        <v>24.390112500000001</v>
      </c>
      <c r="E77">
        <f>Irms+Table1[[#This Row],[Ripple Current (A)]]</f>
        <v>35.609887499999999</v>
      </c>
      <c r="F77">
        <f>Table1[[#This Row],[Vout]]*(Table1[[#This Row],[Imin]]+Table1[[#This Row],[Ripple Current (A)]])</f>
        <v>313.10999999999996</v>
      </c>
      <c r="G77" s="1">
        <f>Table1[[#This Row],[Pout]]/Frequency</f>
        <v>3.1310999999999999E-2</v>
      </c>
      <c r="H77" s="1">
        <f>Table1[[#This Row],[Duty]]/Frequency</f>
        <v>3.5499999999999996E-5</v>
      </c>
      <c r="I77" s="1">
        <f>Table1[[#This Row],[Pout]]/Vin</f>
        <v>10.649999999999999</v>
      </c>
      <c r="J77" s="1">
        <f>Vin*Table1[[#This Row],[Idc]]*Table1[[#This Row],[Time On]]</f>
        <v>1.1115404999999997E-2</v>
      </c>
      <c r="K77" s="1">
        <f>Table1[[#This Row],[Energy/Cycle]]-Table1[[#This Row],[Edc]]</f>
        <v>2.0195595000000004E-2</v>
      </c>
      <c r="L77" s="1">
        <f>2*Table1[[#This Row],[E Capacitor]]/(Vin^2-(Vin-V_ripple)^2)</f>
        <v>1.3856325900514592E-3</v>
      </c>
      <c r="M77" s="1">
        <f>Table1[[#This Row],[Energy/Cycle]]-(Table1[[#This Row],[E Capacitor]]+Table1[[#This Row],[Edc]])</f>
        <v>0</v>
      </c>
    </row>
    <row r="78" spans="1:13" x14ac:dyDescent="0.25">
      <c r="A78">
        <v>0.36</v>
      </c>
      <c r="B78">
        <f t="shared" si="4"/>
        <v>10.584</v>
      </c>
      <c r="C78">
        <f t="shared" si="5"/>
        <v>5.6448</v>
      </c>
      <c r="D78">
        <f>Irms-Table1[[#This Row],[Ripple Current (A)]]</f>
        <v>24.3552</v>
      </c>
      <c r="E78">
        <f>Irms+Table1[[#This Row],[Ripple Current (A)]]</f>
        <v>35.644800000000004</v>
      </c>
      <c r="F78">
        <f>Table1[[#This Row],[Vout]]*(Table1[[#This Row],[Imin]]+Table1[[#This Row],[Ripple Current (A)]])</f>
        <v>317.52</v>
      </c>
      <c r="G78" s="1">
        <f>Table1[[#This Row],[Pout]]/Frequency</f>
        <v>3.1751999999999996E-2</v>
      </c>
      <c r="H78" s="1">
        <f>Table1[[#This Row],[Duty]]/Frequency</f>
        <v>3.6000000000000001E-5</v>
      </c>
      <c r="I78" s="1">
        <f>Table1[[#This Row],[Pout]]/Vin</f>
        <v>10.8</v>
      </c>
      <c r="J78" s="1">
        <f>Vin*Table1[[#This Row],[Idc]]*Table1[[#This Row],[Time On]]</f>
        <v>1.143072E-2</v>
      </c>
      <c r="K78" s="1">
        <f>Table1[[#This Row],[Energy/Cycle]]-Table1[[#This Row],[Edc]]</f>
        <v>2.0321279999999997E-2</v>
      </c>
      <c r="L78" s="1">
        <f>2*Table1[[#This Row],[E Capacitor]]/(Vin^2-(Vin-V_ripple)^2)</f>
        <v>1.3942559176672393E-3</v>
      </c>
      <c r="M78" s="1">
        <f>Table1[[#This Row],[Energy/Cycle]]-(Table1[[#This Row],[E Capacitor]]+Table1[[#This Row],[Edc]])</f>
        <v>0</v>
      </c>
    </row>
    <row r="79" spans="1:13" x14ac:dyDescent="0.25">
      <c r="A79">
        <v>0.36499999999999999</v>
      </c>
      <c r="B79">
        <f t="shared" si="4"/>
        <v>10.731</v>
      </c>
      <c r="C79">
        <f t="shared" si="5"/>
        <v>5.6784874999999992</v>
      </c>
      <c r="D79">
        <f>Irms-Table1[[#This Row],[Ripple Current (A)]]</f>
        <v>24.321512500000001</v>
      </c>
      <c r="E79">
        <f>Irms+Table1[[#This Row],[Ripple Current (A)]]</f>
        <v>35.678487500000003</v>
      </c>
      <c r="F79">
        <f>Table1[[#This Row],[Vout]]*(Table1[[#This Row],[Imin]]+Table1[[#This Row],[Ripple Current (A)]])</f>
        <v>321.93</v>
      </c>
      <c r="G79" s="1">
        <f>Table1[[#This Row],[Pout]]/Frequency</f>
        <v>3.2192999999999999E-2</v>
      </c>
      <c r="H79" s="1">
        <f>Table1[[#This Row],[Duty]]/Frequency</f>
        <v>3.65E-5</v>
      </c>
      <c r="I79" s="1">
        <f>Table1[[#This Row],[Pout]]/Vin</f>
        <v>10.950000000000001</v>
      </c>
      <c r="J79" s="1">
        <f>Vin*Table1[[#This Row],[Idc]]*Table1[[#This Row],[Time On]]</f>
        <v>1.1750445E-2</v>
      </c>
      <c r="K79" s="1">
        <f>Table1[[#This Row],[Energy/Cycle]]-Table1[[#This Row],[Edc]]</f>
        <v>2.0442555000000001E-2</v>
      </c>
      <c r="L79" s="1">
        <f>2*Table1[[#This Row],[E Capacitor]]/(Vin^2-(Vin-V_ripple)^2)</f>
        <v>1.4025766723842208E-3</v>
      </c>
      <c r="M79" s="1">
        <f>Table1[[#This Row],[Energy/Cycle]]-(Table1[[#This Row],[E Capacitor]]+Table1[[#This Row],[Edc]])</f>
        <v>0</v>
      </c>
    </row>
    <row r="80" spans="1:13" x14ac:dyDescent="0.25">
      <c r="A80">
        <v>0.37</v>
      </c>
      <c r="B80">
        <f t="shared" si="4"/>
        <v>10.878</v>
      </c>
      <c r="C80">
        <f t="shared" si="5"/>
        <v>5.7109500000000004</v>
      </c>
      <c r="D80">
        <f>Irms-Table1[[#This Row],[Ripple Current (A)]]</f>
        <v>24.28905</v>
      </c>
      <c r="E80">
        <f>Irms+Table1[[#This Row],[Ripple Current (A)]]</f>
        <v>35.710949999999997</v>
      </c>
      <c r="F80">
        <f>Table1[[#This Row],[Vout]]*(Table1[[#This Row],[Imin]]+Table1[[#This Row],[Ripple Current (A)]])</f>
        <v>326.34000000000003</v>
      </c>
      <c r="G80" s="1">
        <f>Table1[[#This Row],[Pout]]/Frequency</f>
        <v>3.2634000000000003E-2</v>
      </c>
      <c r="H80" s="1">
        <f>Table1[[#This Row],[Duty]]/Frequency</f>
        <v>3.6999999999999998E-5</v>
      </c>
      <c r="I80" s="1">
        <f>Table1[[#This Row],[Pout]]/Vin</f>
        <v>11.100000000000001</v>
      </c>
      <c r="J80" s="1">
        <f>Vin*Table1[[#This Row],[Idc]]*Table1[[#This Row],[Time On]]</f>
        <v>1.2074580000000001E-2</v>
      </c>
      <c r="K80" s="1">
        <f>Table1[[#This Row],[Energy/Cycle]]-Table1[[#This Row],[Edc]]</f>
        <v>2.0559420000000002E-2</v>
      </c>
      <c r="L80" s="1">
        <f>2*Table1[[#This Row],[E Capacitor]]/(Vin^2-(Vin-V_ripple)^2)</f>
        <v>1.4105948542024026E-3</v>
      </c>
      <c r="M80" s="1">
        <f>Table1[[#This Row],[Energy/Cycle]]-(Table1[[#This Row],[E Capacitor]]+Table1[[#This Row],[Edc]])</f>
        <v>0</v>
      </c>
    </row>
    <row r="81" spans="1:13" x14ac:dyDescent="0.25">
      <c r="A81">
        <v>0.375</v>
      </c>
      <c r="B81">
        <f t="shared" si="4"/>
        <v>11.024999999999999</v>
      </c>
      <c r="C81">
        <f t="shared" si="5"/>
        <v>5.7421875</v>
      </c>
      <c r="D81">
        <f>Irms-Table1[[#This Row],[Ripple Current (A)]]</f>
        <v>24.2578125</v>
      </c>
      <c r="E81">
        <f>Irms+Table1[[#This Row],[Ripple Current (A)]]</f>
        <v>35.7421875</v>
      </c>
      <c r="F81">
        <f>Table1[[#This Row],[Vout]]*(Table1[[#This Row],[Imin]]+Table1[[#This Row],[Ripple Current (A)]])</f>
        <v>330.74999999999994</v>
      </c>
      <c r="G81" s="1">
        <f>Table1[[#This Row],[Pout]]/Frequency</f>
        <v>3.3074999999999993E-2</v>
      </c>
      <c r="H81" s="1">
        <f>Table1[[#This Row],[Duty]]/Frequency</f>
        <v>3.7499999999999997E-5</v>
      </c>
      <c r="I81" s="1">
        <f>Table1[[#This Row],[Pout]]/Vin</f>
        <v>11.249999999999998</v>
      </c>
      <c r="J81" s="1">
        <f>Vin*Table1[[#This Row],[Idc]]*Table1[[#This Row],[Time On]]</f>
        <v>1.2403124999999997E-2</v>
      </c>
      <c r="K81" s="1">
        <f>Table1[[#This Row],[Energy/Cycle]]-Table1[[#This Row],[Edc]]</f>
        <v>2.0671874999999996E-2</v>
      </c>
      <c r="L81" s="1">
        <f>2*Table1[[#This Row],[E Capacitor]]/(Vin^2-(Vin-V_ripple)^2)</f>
        <v>1.4183104631217847E-3</v>
      </c>
      <c r="M81" s="1">
        <f>Table1[[#This Row],[Energy/Cycle]]-(Table1[[#This Row],[E Capacitor]]+Table1[[#This Row],[Edc]])</f>
        <v>0</v>
      </c>
    </row>
    <row r="82" spans="1:13" x14ac:dyDescent="0.25">
      <c r="A82">
        <v>0.38</v>
      </c>
      <c r="B82">
        <f t="shared" si="4"/>
        <v>11.171999999999999</v>
      </c>
      <c r="C82">
        <f t="shared" si="5"/>
        <v>5.7722000000000007</v>
      </c>
      <c r="D82">
        <f>Irms-Table1[[#This Row],[Ripple Current (A)]]</f>
        <v>24.227799999999998</v>
      </c>
      <c r="E82">
        <f>Irms+Table1[[#This Row],[Ripple Current (A)]]</f>
        <v>35.772199999999998</v>
      </c>
      <c r="F82">
        <f>Table1[[#This Row],[Vout]]*(Table1[[#This Row],[Imin]]+Table1[[#This Row],[Ripple Current (A)]])</f>
        <v>335.15999999999997</v>
      </c>
      <c r="G82" s="1">
        <f>Table1[[#This Row],[Pout]]/Frequency</f>
        <v>3.3515999999999997E-2</v>
      </c>
      <c r="H82" s="1">
        <f>Table1[[#This Row],[Duty]]/Frequency</f>
        <v>3.8000000000000002E-5</v>
      </c>
      <c r="I82" s="1">
        <f>Table1[[#This Row],[Pout]]/Vin</f>
        <v>11.4</v>
      </c>
      <c r="J82" s="1">
        <f>Vin*Table1[[#This Row],[Idc]]*Table1[[#This Row],[Time On]]</f>
        <v>1.273608E-2</v>
      </c>
      <c r="K82" s="1">
        <f>Table1[[#This Row],[Energy/Cycle]]-Table1[[#This Row],[Edc]]</f>
        <v>2.0779919999999997E-2</v>
      </c>
      <c r="L82" s="1">
        <f>2*Table1[[#This Row],[E Capacitor]]/(Vin^2-(Vin-V_ripple)^2)</f>
        <v>1.4257234991423679E-3</v>
      </c>
      <c r="M82" s="1">
        <f>Table1[[#This Row],[Energy/Cycle]]-(Table1[[#This Row],[E Capacitor]]+Table1[[#This Row],[Edc]])</f>
        <v>0</v>
      </c>
    </row>
    <row r="83" spans="1:13" x14ac:dyDescent="0.25">
      <c r="A83">
        <v>0.38500000000000001</v>
      </c>
      <c r="B83">
        <f t="shared" si="4"/>
        <v>11.318999999999999</v>
      </c>
      <c r="C83">
        <f t="shared" si="5"/>
        <v>5.8009875000000006</v>
      </c>
      <c r="D83">
        <f>Irms-Table1[[#This Row],[Ripple Current (A)]]</f>
        <v>24.199012499999998</v>
      </c>
      <c r="E83">
        <f>Irms+Table1[[#This Row],[Ripple Current (A)]]</f>
        <v>35.800987499999998</v>
      </c>
      <c r="F83">
        <f>Table1[[#This Row],[Vout]]*(Table1[[#This Row],[Imin]]+Table1[[#This Row],[Ripple Current (A)]])</f>
        <v>339.57</v>
      </c>
      <c r="G83" s="1">
        <f>Table1[[#This Row],[Pout]]/Frequency</f>
        <v>3.3957000000000001E-2</v>
      </c>
      <c r="H83" s="1">
        <f>Table1[[#This Row],[Duty]]/Frequency</f>
        <v>3.8500000000000001E-5</v>
      </c>
      <c r="I83" s="1">
        <f>Table1[[#This Row],[Pout]]/Vin</f>
        <v>11.55</v>
      </c>
      <c r="J83" s="1">
        <f>Vin*Table1[[#This Row],[Idc]]*Table1[[#This Row],[Time On]]</f>
        <v>1.3073445E-2</v>
      </c>
      <c r="K83" s="1">
        <f>Table1[[#This Row],[Energy/Cycle]]-Table1[[#This Row],[Edc]]</f>
        <v>2.0883555000000002E-2</v>
      </c>
      <c r="L83" s="1">
        <f>2*Table1[[#This Row],[E Capacitor]]/(Vin^2-(Vin-V_ripple)^2)</f>
        <v>1.4328339622641522E-3</v>
      </c>
      <c r="M83" s="1">
        <f>Table1[[#This Row],[Energy/Cycle]]-(Table1[[#This Row],[E Capacitor]]+Table1[[#This Row],[Edc]])</f>
        <v>0</v>
      </c>
    </row>
    <row r="84" spans="1:13" x14ac:dyDescent="0.25">
      <c r="A84">
        <v>0.39</v>
      </c>
      <c r="B84">
        <f t="shared" si="4"/>
        <v>11.465999999999999</v>
      </c>
      <c r="C84">
        <f t="shared" si="5"/>
        <v>5.8285499999999999</v>
      </c>
      <c r="D84">
        <f>Irms-Table1[[#This Row],[Ripple Current (A)]]</f>
        <v>24.17145</v>
      </c>
      <c r="E84">
        <f>Irms+Table1[[#This Row],[Ripple Current (A)]]</f>
        <v>35.82855</v>
      </c>
      <c r="F84">
        <f>Table1[[#This Row],[Vout]]*(Table1[[#This Row],[Imin]]+Table1[[#This Row],[Ripple Current (A)]])</f>
        <v>343.97999999999996</v>
      </c>
      <c r="G84" s="1">
        <f>Table1[[#This Row],[Pout]]/Frequency</f>
        <v>3.4397999999999998E-2</v>
      </c>
      <c r="H84" s="1">
        <f>Table1[[#This Row],[Duty]]/Frequency</f>
        <v>3.8999999999999999E-5</v>
      </c>
      <c r="I84" s="1">
        <f>Table1[[#This Row],[Pout]]/Vin</f>
        <v>11.7</v>
      </c>
      <c r="J84" s="1">
        <f>Vin*Table1[[#This Row],[Idc]]*Table1[[#This Row],[Time On]]</f>
        <v>1.3415219999999999E-2</v>
      </c>
      <c r="K84" s="1">
        <f>Table1[[#This Row],[Energy/Cycle]]-Table1[[#This Row],[Edc]]</f>
        <v>2.0982779999999999E-2</v>
      </c>
      <c r="L84" s="1">
        <f>2*Table1[[#This Row],[E Capacitor]]/(Vin^2-(Vin-V_ripple)^2)</f>
        <v>1.4396418524871366E-3</v>
      </c>
      <c r="M84" s="1">
        <f>Table1[[#This Row],[Energy/Cycle]]-(Table1[[#This Row],[E Capacitor]]+Table1[[#This Row],[Edc]])</f>
        <v>0</v>
      </c>
    </row>
    <row r="85" spans="1:13" x14ac:dyDescent="0.25">
      <c r="A85">
        <v>0.39500000000000002</v>
      </c>
      <c r="B85">
        <f t="shared" si="4"/>
        <v>11.613</v>
      </c>
      <c r="C85">
        <f t="shared" si="5"/>
        <v>5.8548875000000002</v>
      </c>
      <c r="D85">
        <f>Irms-Table1[[#This Row],[Ripple Current (A)]]</f>
        <v>24.1451125</v>
      </c>
      <c r="E85">
        <f>Irms+Table1[[#This Row],[Ripple Current (A)]]</f>
        <v>35.854887500000004</v>
      </c>
      <c r="F85">
        <f>Table1[[#This Row],[Vout]]*(Table1[[#This Row],[Imin]]+Table1[[#This Row],[Ripple Current (A)]])</f>
        <v>348.39</v>
      </c>
      <c r="G85" s="1">
        <f>Table1[[#This Row],[Pout]]/Frequency</f>
        <v>3.4839000000000002E-2</v>
      </c>
      <c r="H85" s="1">
        <f>Table1[[#This Row],[Duty]]/Frequency</f>
        <v>3.9500000000000005E-5</v>
      </c>
      <c r="I85" s="1">
        <f>Table1[[#This Row],[Pout]]/Vin</f>
        <v>11.85</v>
      </c>
      <c r="J85" s="1">
        <f>Vin*Table1[[#This Row],[Idc]]*Table1[[#This Row],[Time On]]</f>
        <v>1.3761405000000001E-2</v>
      </c>
      <c r="K85" s="1">
        <f>Table1[[#This Row],[Energy/Cycle]]-Table1[[#This Row],[Edc]]</f>
        <v>2.1077595000000001E-2</v>
      </c>
      <c r="L85" s="1">
        <f>2*Table1[[#This Row],[E Capacitor]]/(Vin^2-(Vin-V_ripple)^2)</f>
        <v>1.446147169811322E-3</v>
      </c>
      <c r="M85" s="1">
        <f>Table1[[#This Row],[Energy/Cycle]]-(Table1[[#This Row],[E Capacitor]]+Table1[[#This Row],[Edc]])</f>
        <v>0</v>
      </c>
    </row>
    <row r="86" spans="1:13" x14ac:dyDescent="0.25">
      <c r="A86">
        <v>0.4</v>
      </c>
      <c r="B86">
        <f t="shared" si="4"/>
        <v>11.76</v>
      </c>
      <c r="C86">
        <f t="shared" si="5"/>
        <v>5.8800000000000008</v>
      </c>
      <c r="D86">
        <f>Irms-Table1[[#This Row],[Ripple Current (A)]]</f>
        <v>24.119999999999997</v>
      </c>
      <c r="E86">
        <f>Irms+Table1[[#This Row],[Ripple Current (A)]]</f>
        <v>35.880000000000003</v>
      </c>
      <c r="F86">
        <f>Table1[[#This Row],[Vout]]*(Table1[[#This Row],[Imin]]+Table1[[#This Row],[Ripple Current (A)]])</f>
        <v>352.8</v>
      </c>
      <c r="G86" s="1">
        <f>Table1[[#This Row],[Pout]]/Frequency</f>
        <v>3.5279999999999999E-2</v>
      </c>
      <c r="H86" s="1">
        <f>Table1[[#This Row],[Duty]]/Frequency</f>
        <v>4.0000000000000003E-5</v>
      </c>
      <c r="I86" s="1">
        <f>Table1[[#This Row],[Pout]]/Vin</f>
        <v>12.000000000000002</v>
      </c>
      <c r="J86" s="1">
        <f>Vin*Table1[[#This Row],[Idc]]*Table1[[#This Row],[Time On]]</f>
        <v>1.4112000000000001E-2</v>
      </c>
      <c r="K86" s="1">
        <f>Table1[[#This Row],[Energy/Cycle]]-Table1[[#This Row],[Edc]]</f>
        <v>2.1167999999999999E-2</v>
      </c>
      <c r="L86" s="1">
        <f>2*Table1[[#This Row],[E Capacitor]]/(Vin^2-(Vin-V_ripple)^2)</f>
        <v>1.4523499142367077E-3</v>
      </c>
      <c r="M86" s="1">
        <f>Table1[[#This Row],[Energy/Cycle]]-(Table1[[#This Row],[E Capacitor]]+Table1[[#This Row],[Edc]])</f>
        <v>0</v>
      </c>
    </row>
    <row r="87" spans="1:13" x14ac:dyDescent="0.25">
      <c r="A87">
        <v>0.40500000000000003</v>
      </c>
      <c r="B87">
        <f t="shared" si="4"/>
        <v>11.907</v>
      </c>
      <c r="C87">
        <f t="shared" si="5"/>
        <v>5.9038875000000006</v>
      </c>
      <c r="D87">
        <f>Irms-Table1[[#This Row],[Ripple Current (A)]]</f>
        <v>24.0961125</v>
      </c>
      <c r="E87">
        <f>Irms+Table1[[#This Row],[Ripple Current (A)]]</f>
        <v>35.903887500000003</v>
      </c>
      <c r="F87">
        <f>Table1[[#This Row],[Vout]]*(Table1[[#This Row],[Imin]]+Table1[[#This Row],[Ripple Current (A)]])</f>
        <v>357.21</v>
      </c>
      <c r="G87" s="1">
        <f>Table1[[#This Row],[Pout]]/Frequency</f>
        <v>3.5720999999999996E-2</v>
      </c>
      <c r="H87" s="1">
        <f>Table1[[#This Row],[Duty]]/Frequency</f>
        <v>4.0500000000000002E-5</v>
      </c>
      <c r="I87" s="1">
        <f>Table1[[#This Row],[Pout]]/Vin</f>
        <v>12.15</v>
      </c>
      <c r="J87" s="1">
        <f>Vin*Table1[[#This Row],[Idc]]*Table1[[#This Row],[Time On]]</f>
        <v>1.4467005E-2</v>
      </c>
      <c r="K87" s="1">
        <f>Table1[[#This Row],[Energy/Cycle]]-Table1[[#This Row],[Edc]]</f>
        <v>2.1253994999999998E-2</v>
      </c>
      <c r="L87" s="1">
        <f>2*Table1[[#This Row],[E Capacitor]]/(Vin^2-(Vin-V_ripple)^2)</f>
        <v>1.4582500857632944E-3</v>
      </c>
      <c r="M87" s="1">
        <f>Table1[[#This Row],[Energy/Cycle]]-(Table1[[#This Row],[E Capacitor]]+Table1[[#This Row],[Edc]])</f>
        <v>0</v>
      </c>
    </row>
    <row r="88" spans="1:13" x14ac:dyDescent="0.25">
      <c r="A88">
        <v>0.41</v>
      </c>
      <c r="B88">
        <f t="shared" si="4"/>
        <v>12.053999999999998</v>
      </c>
      <c r="C88">
        <f t="shared" si="5"/>
        <v>5.9265499999999998</v>
      </c>
      <c r="D88">
        <f>Irms-Table1[[#This Row],[Ripple Current (A)]]</f>
        <v>24.073450000000001</v>
      </c>
      <c r="E88">
        <f>Irms+Table1[[#This Row],[Ripple Current (A)]]</f>
        <v>35.926549999999999</v>
      </c>
      <c r="F88">
        <f>Table1[[#This Row],[Vout]]*(Table1[[#This Row],[Imin]]+Table1[[#This Row],[Ripple Current (A)]])</f>
        <v>361.61999999999995</v>
      </c>
      <c r="G88" s="1">
        <f>Table1[[#This Row],[Pout]]/Frequency</f>
        <v>3.6161999999999993E-2</v>
      </c>
      <c r="H88" s="1">
        <f>Table1[[#This Row],[Duty]]/Frequency</f>
        <v>4.1E-5</v>
      </c>
      <c r="I88" s="1">
        <f>Table1[[#This Row],[Pout]]/Vin</f>
        <v>12.299999999999999</v>
      </c>
      <c r="J88" s="1">
        <f>Vin*Table1[[#This Row],[Idc]]*Table1[[#This Row],[Time On]]</f>
        <v>1.4826419999999998E-2</v>
      </c>
      <c r="K88" s="1">
        <f>Table1[[#This Row],[Energy/Cycle]]-Table1[[#This Row],[Edc]]</f>
        <v>2.1335579999999993E-2</v>
      </c>
      <c r="L88" s="1">
        <f>2*Table1[[#This Row],[E Capacitor]]/(Vin^2-(Vin-V_ripple)^2)</f>
        <v>1.4638476843910812E-3</v>
      </c>
      <c r="M88" s="1">
        <f>Table1[[#This Row],[Energy/Cycle]]-(Table1[[#This Row],[E Capacitor]]+Table1[[#This Row],[Edc]])</f>
        <v>0</v>
      </c>
    </row>
    <row r="89" spans="1:13" x14ac:dyDescent="0.25">
      <c r="A89">
        <v>0.41499999999999998</v>
      </c>
      <c r="B89">
        <f t="shared" si="4"/>
        <v>12.200999999999999</v>
      </c>
      <c r="C89">
        <f t="shared" si="5"/>
        <v>5.9479874999999991</v>
      </c>
      <c r="D89">
        <f>Irms-Table1[[#This Row],[Ripple Current (A)]]</f>
        <v>24.0520125</v>
      </c>
      <c r="E89">
        <f>Irms+Table1[[#This Row],[Ripple Current (A)]]</f>
        <v>35.947987499999996</v>
      </c>
      <c r="F89">
        <f>Table1[[#This Row],[Vout]]*(Table1[[#This Row],[Imin]]+Table1[[#This Row],[Ripple Current (A)]])</f>
        <v>366.03</v>
      </c>
      <c r="G89" s="1">
        <f>Table1[[#This Row],[Pout]]/Frequency</f>
        <v>3.6602999999999997E-2</v>
      </c>
      <c r="H89" s="1">
        <f>Table1[[#This Row],[Duty]]/Frequency</f>
        <v>4.1499999999999999E-5</v>
      </c>
      <c r="I89" s="1">
        <f>Table1[[#This Row],[Pout]]/Vin</f>
        <v>12.45</v>
      </c>
      <c r="J89" s="1">
        <f>Vin*Table1[[#This Row],[Idc]]*Table1[[#This Row],[Time On]]</f>
        <v>1.5190244999999998E-2</v>
      </c>
      <c r="K89" s="1">
        <f>Table1[[#This Row],[Energy/Cycle]]-Table1[[#This Row],[Edc]]</f>
        <v>2.1412754999999999E-2</v>
      </c>
      <c r="L89" s="1">
        <f>2*Table1[[#This Row],[E Capacitor]]/(Vin^2-(Vin-V_ripple)^2)</f>
        <v>1.4691427101200696E-3</v>
      </c>
      <c r="M89" s="1">
        <f>Table1[[#This Row],[Energy/Cycle]]-(Table1[[#This Row],[E Capacitor]]+Table1[[#This Row],[Edc]])</f>
        <v>0</v>
      </c>
    </row>
    <row r="90" spans="1:13" x14ac:dyDescent="0.25">
      <c r="A90">
        <v>0.42</v>
      </c>
      <c r="B90">
        <f t="shared" si="4"/>
        <v>12.347999999999999</v>
      </c>
      <c r="C90">
        <f t="shared" si="5"/>
        <v>5.9682000000000004</v>
      </c>
      <c r="D90">
        <f>Irms-Table1[[#This Row],[Ripple Current (A)]]</f>
        <v>24.0318</v>
      </c>
      <c r="E90">
        <f>Irms+Table1[[#This Row],[Ripple Current (A)]]</f>
        <v>35.968200000000003</v>
      </c>
      <c r="F90">
        <f>Table1[[#This Row],[Vout]]*(Table1[[#This Row],[Imin]]+Table1[[#This Row],[Ripple Current (A)]])</f>
        <v>370.43999999999994</v>
      </c>
      <c r="G90" s="1">
        <f>Table1[[#This Row],[Pout]]/Frequency</f>
        <v>3.7043999999999994E-2</v>
      </c>
      <c r="H90" s="1">
        <f>Table1[[#This Row],[Duty]]/Frequency</f>
        <v>4.1999999999999998E-5</v>
      </c>
      <c r="I90" s="1">
        <f>Table1[[#This Row],[Pout]]/Vin</f>
        <v>12.599999999999998</v>
      </c>
      <c r="J90" s="1">
        <f>Vin*Table1[[#This Row],[Idc]]*Table1[[#This Row],[Time On]]</f>
        <v>1.5558479999999996E-2</v>
      </c>
      <c r="K90" s="1">
        <f>Table1[[#This Row],[Energy/Cycle]]-Table1[[#This Row],[Edc]]</f>
        <v>2.1485519999999998E-2</v>
      </c>
      <c r="L90" s="1">
        <f>2*Table1[[#This Row],[E Capacitor]]/(Vin^2-(Vin-V_ripple)^2)</f>
        <v>1.4741351629502582E-3</v>
      </c>
      <c r="M90" s="1">
        <f>Table1[[#This Row],[Energy/Cycle]]-(Table1[[#This Row],[E Capacitor]]+Table1[[#This Row],[Edc]])</f>
        <v>0</v>
      </c>
    </row>
    <row r="91" spans="1:13" x14ac:dyDescent="0.25">
      <c r="A91">
        <v>0.42499999999999999</v>
      </c>
      <c r="B91">
        <f t="shared" si="4"/>
        <v>12.494999999999999</v>
      </c>
      <c r="C91">
        <f t="shared" si="5"/>
        <v>5.987187500000001</v>
      </c>
      <c r="D91">
        <f>Irms-Table1[[#This Row],[Ripple Current (A)]]</f>
        <v>24.012812499999999</v>
      </c>
      <c r="E91">
        <f>Irms+Table1[[#This Row],[Ripple Current (A)]]</f>
        <v>35.987187500000005</v>
      </c>
      <c r="F91">
        <f>Table1[[#This Row],[Vout]]*(Table1[[#This Row],[Imin]]+Table1[[#This Row],[Ripple Current (A)]])</f>
        <v>374.84999999999997</v>
      </c>
      <c r="G91" s="1">
        <f>Table1[[#This Row],[Pout]]/Frequency</f>
        <v>3.7484999999999997E-2</v>
      </c>
      <c r="H91" s="1">
        <f>Table1[[#This Row],[Duty]]/Frequency</f>
        <v>4.2499999999999996E-5</v>
      </c>
      <c r="I91" s="1">
        <f>Table1[[#This Row],[Pout]]/Vin</f>
        <v>12.75</v>
      </c>
      <c r="J91" s="1">
        <f>Vin*Table1[[#This Row],[Idc]]*Table1[[#This Row],[Time On]]</f>
        <v>1.5931124999999997E-2</v>
      </c>
      <c r="K91" s="1">
        <f>Table1[[#This Row],[Energy/Cycle]]-Table1[[#This Row],[Edc]]</f>
        <v>2.1553875E-2</v>
      </c>
      <c r="L91" s="1">
        <f>2*Table1[[#This Row],[E Capacitor]]/(Vin^2-(Vin-V_ripple)^2)</f>
        <v>1.4788250428816479E-3</v>
      </c>
      <c r="M91" s="1">
        <f>Table1[[#This Row],[Energy/Cycle]]-(Table1[[#This Row],[E Capacitor]]+Table1[[#This Row],[Edc]])</f>
        <v>0</v>
      </c>
    </row>
    <row r="92" spans="1:13" x14ac:dyDescent="0.25">
      <c r="A92">
        <v>0.43</v>
      </c>
      <c r="B92">
        <f t="shared" si="4"/>
        <v>12.641999999999999</v>
      </c>
      <c r="C92">
        <f t="shared" si="5"/>
        <v>6.0049499999999991</v>
      </c>
      <c r="D92">
        <f>Irms-Table1[[#This Row],[Ripple Current (A)]]</f>
        <v>23.995049999999999</v>
      </c>
      <c r="E92">
        <f>Irms+Table1[[#This Row],[Ripple Current (A)]]</f>
        <v>36.004950000000001</v>
      </c>
      <c r="F92">
        <f>Table1[[#This Row],[Vout]]*(Table1[[#This Row],[Imin]]+Table1[[#This Row],[Ripple Current (A)]])</f>
        <v>379.26</v>
      </c>
      <c r="G92" s="1">
        <f>Table1[[#This Row],[Pout]]/Frequency</f>
        <v>3.7926000000000001E-2</v>
      </c>
      <c r="H92" s="1">
        <f>Table1[[#This Row],[Duty]]/Frequency</f>
        <v>4.3000000000000002E-5</v>
      </c>
      <c r="I92" s="1">
        <f>Table1[[#This Row],[Pout]]/Vin</f>
        <v>12.9</v>
      </c>
      <c r="J92" s="1">
        <f>Vin*Table1[[#This Row],[Idc]]*Table1[[#This Row],[Time On]]</f>
        <v>1.6308179999999999E-2</v>
      </c>
      <c r="K92" s="1">
        <f>Table1[[#This Row],[Energy/Cycle]]-Table1[[#This Row],[Edc]]</f>
        <v>2.1617820000000003E-2</v>
      </c>
      <c r="L92" s="1">
        <f>2*Table1[[#This Row],[E Capacitor]]/(Vin^2-(Vin-V_ripple)^2)</f>
        <v>1.483212349914238E-3</v>
      </c>
      <c r="M92" s="1">
        <f>Table1[[#This Row],[Energy/Cycle]]-(Table1[[#This Row],[E Capacitor]]+Table1[[#This Row],[Edc]])</f>
        <v>0</v>
      </c>
    </row>
    <row r="93" spans="1:13" x14ac:dyDescent="0.25">
      <c r="A93">
        <v>0.435</v>
      </c>
      <c r="B93">
        <f t="shared" si="4"/>
        <v>12.789</v>
      </c>
      <c r="C93">
        <f t="shared" si="5"/>
        <v>6.0214874999999992</v>
      </c>
      <c r="D93">
        <f>Irms-Table1[[#This Row],[Ripple Current (A)]]</f>
        <v>23.978512500000001</v>
      </c>
      <c r="E93">
        <f>Irms+Table1[[#This Row],[Ripple Current (A)]]</f>
        <v>36.021487499999999</v>
      </c>
      <c r="F93">
        <f>Table1[[#This Row],[Vout]]*(Table1[[#This Row],[Imin]]+Table1[[#This Row],[Ripple Current (A)]])</f>
        <v>383.67</v>
      </c>
      <c r="G93" s="1">
        <f>Table1[[#This Row],[Pout]]/Frequency</f>
        <v>3.8366999999999998E-2</v>
      </c>
      <c r="H93" s="1">
        <f>Table1[[#This Row],[Duty]]/Frequency</f>
        <v>4.35E-5</v>
      </c>
      <c r="I93" s="1">
        <f>Table1[[#This Row],[Pout]]/Vin</f>
        <v>13.05</v>
      </c>
      <c r="J93" s="1">
        <f>Vin*Table1[[#This Row],[Idc]]*Table1[[#This Row],[Time On]]</f>
        <v>1.6689644999999999E-2</v>
      </c>
      <c r="K93" s="1">
        <f>Table1[[#This Row],[Energy/Cycle]]-Table1[[#This Row],[Edc]]</f>
        <v>2.1677354999999999E-2</v>
      </c>
      <c r="L93" s="1">
        <f>2*Table1[[#This Row],[E Capacitor]]/(Vin^2-(Vin-V_ripple)^2)</f>
        <v>1.4872970840480286E-3</v>
      </c>
      <c r="M93" s="1">
        <f>Table1[[#This Row],[Energy/Cycle]]-(Table1[[#This Row],[E Capacitor]]+Table1[[#This Row],[Edc]])</f>
        <v>0</v>
      </c>
    </row>
    <row r="94" spans="1:13" x14ac:dyDescent="0.25">
      <c r="A94">
        <v>0.44</v>
      </c>
      <c r="B94">
        <f t="shared" si="4"/>
        <v>12.936</v>
      </c>
      <c r="C94">
        <f t="shared" si="5"/>
        <v>6.0367999999999995</v>
      </c>
      <c r="D94">
        <f>Irms-Table1[[#This Row],[Ripple Current (A)]]</f>
        <v>23.963200000000001</v>
      </c>
      <c r="E94">
        <f>Irms+Table1[[#This Row],[Ripple Current (A)]]</f>
        <v>36.036799999999999</v>
      </c>
      <c r="F94">
        <f>Table1[[#This Row],[Vout]]*(Table1[[#This Row],[Imin]]+Table1[[#This Row],[Ripple Current (A)]])</f>
        <v>388.08</v>
      </c>
      <c r="G94" s="1">
        <f>Table1[[#This Row],[Pout]]/Frequency</f>
        <v>3.8807999999999995E-2</v>
      </c>
      <c r="H94" s="1">
        <f>Table1[[#This Row],[Duty]]/Frequency</f>
        <v>4.3999999999999999E-5</v>
      </c>
      <c r="I94" s="1">
        <f>Table1[[#This Row],[Pout]]/Vin</f>
        <v>13.2</v>
      </c>
      <c r="J94" s="1">
        <f>Vin*Table1[[#This Row],[Idc]]*Table1[[#This Row],[Time On]]</f>
        <v>1.707552E-2</v>
      </c>
      <c r="K94" s="1">
        <f>Table1[[#This Row],[Energy/Cycle]]-Table1[[#This Row],[Edc]]</f>
        <v>2.1732479999999995E-2</v>
      </c>
      <c r="L94" s="1">
        <f>2*Table1[[#This Row],[E Capacitor]]/(Vin^2-(Vin-V_ripple)^2)</f>
        <v>1.4910792452830198E-3</v>
      </c>
      <c r="M94" s="1">
        <f>Table1[[#This Row],[Energy/Cycle]]-(Table1[[#This Row],[E Capacitor]]+Table1[[#This Row],[Edc]])</f>
        <v>0</v>
      </c>
    </row>
    <row r="95" spans="1:13" x14ac:dyDescent="0.25">
      <c r="A95">
        <v>0.44500000000000001</v>
      </c>
      <c r="B95">
        <f t="shared" si="4"/>
        <v>13.083</v>
      </c>
      <c r="C95">
        <f t="shared" si="5"/>
        <v>6.0508875000000009</v>
      </c>
      <c r="D95">
        <f>Irms-Table1[[#This Row],[Ripple Current (A)]]</f>
        <v>23.949112499999998</v>
      </c>
      <c r="E95">
        <f>Irms+Table1[[#This Row],[Ripple Current (A)]]</f>
        <v>36.050887500000002</v>
      </c>
      <c r="F95">
        <f>Table1[[#This Row],[Vout]]*(Table1[[#This Row],[Imin]]+Table1[[#This Row],[Ripple Current (A)]])</f>
        <v>392.49</v>
      </c>
      <c r="G95" s="1">
        <f>Table1[[#This Row],[Pout]]/Frequency</f>
        <v>3.9248999999999999E-2</v>
      </c>
      <c r="H95" s="1">
        <f>Table1[[#This Row],[Duty]]/Frequency</f>
        <v>4.4499999999999997E-5</v>
      </c>
      <c r="I95" s="1">
        <f>Table1[[#This Row],[Pout]]/Vin</f>
        <v>13.350000000000001</v>
      </c>
      <c r="J95" s="1">
        <f>Vin*Table1[[#This Row],[Idc]]*Table1[[#This Row],[Time On]]</f>
        <v>1.7465805000000001E-2</v>
      </c>
      <c r="K95" s="1">
        <f>Table1[[#This Row],[Energy/Cycle]]-Table1[[#This Row],[Edc]]</f>
        <v>2.1783194999999998E-2</v>
      </c>
      <c r="L95" s="1">
        <f>2*Table1[[#This Row],[E Capacitor]]/(Vin^2-(Vin-V_ripple)^2)</f>
        <v>1.4945588336192121E-3</v>
      </c>
      <c r="M95" s="1">
        <f>Table1[[#This Row],[Energy/Cycle]]-(Table1[[#This Row],[E Capacitor]]+Table1[[#This Row],[Edc]])</f>
        <v>0</v>
      </c>
    </row>
    <row r="96" spans="1:13" x14ac:dyDescent="0.25">
      <c r="A96">
        <v>0.45</v>
      </c>
      <c r="B96">
        <f t="shared" si="4"/>
        <v>13.23</v>
      </c>
      <c r="C96">
        <f t="shared" si="5"/>
        <v>6.0637499999999998</v>
      </c>
      <c r="D96">
        <f>Irms-Table1[[#This Row],[Ripple Current (A)]]</f>
        <v>23.936250000000001</v>
      </c>
      <c r="E96">
        <f>Irms+Table1[[#This Row],[Ripple Current (A)]]</f>
        <v>36.063749999999999</v>
      </c>
      <c r="F96">
        <f>Table1[[#This Row],[Vout]]*(Table1[[#This Row],[Imin]]+Table1[[#This Row],[Ripple Current (A)]])</f>
        <v>396.90000000000003</v>
      </c>
      <c r="G96" s="1">
        <f>Table1[[#This Row],[Pout]]/Frequency</f>
        <v>3.9690000000000003E-2</v>
      </c>
      <c r="H96" s="1">
        <f>Table1[[#This Row],[Duty]]/Frequency</f>
        <v>4.5000000000000003E-5</v>
      </c>
      <c r="I96" s="1">
        <f>Table1[[#This Row],[Pout]]/Vin</f>
        <v>13.500000000000002</v>
      </c>
      <c r="J96" s="1">
        <f>Vin*Table1[[#This Row],[Idc]]*Table1[[#This Row],[Time On]]</f>
        <v>1.7860500000000001E-2</v>
      </c>
      <c r="K96" s="1">
        <f>Table1[[#This Row],[Energy/Cycle]]-Table1[[#This Row],[Edc]]</f>
        <v>2.1829500000000002E-2</v>
      </c>
      <c r="L96" s="1">
        <f>2*Table1[[#This Row],[E Capacitor]]/(Vin^2-(Vin-V_ripple)^2)</f>
        <v>1.497735849056605E-3</v>
      </c>
      <c r="M96" s="1">
        <f>Table1[[#This Row],[Energy/Cycle]]-(Table1[[#This Row],[E Capacitor]]+Table1[[#This Row],[Edc]])</f>
        <v>0</v>
      </c>
    </row>
    <row r="97" spans="1:13" x14ac:dyDescent="0.25">
      <c r="A97">
        <v>0.45500000000000002</v>
      </c>
      <c r="B97">
        <f t="shared" si="4"/>
        <v>13.377000000000001</v>
      </c>
      <c r="C97">
        <f t="shared" si="5"/>
        <v>6.0753874999999988</v>
      </c>
      <c r="D97">
        <f>Irms-Table1[[#This Row],[Ripple Current (A)]]</f>
        <v>23.924612500000002</v>
      </c>
      <c r="E97">
        <f>Irms+Table1[[#This Row],[Ripple Current (A)]]</f>
        <v>36.075387499999998</v>
      </c>
      <c r="F97">
        <f>Table1[[#This Row],[Vout]]*(Table1[[#This Row],[Imin]]+Table1[[#This Row],[Ripple Current (A)]])</f>
        <v>401.31</v>
      </c>
      <c r="G97" s="1">
        <f>Table1[[#This Row],[Pout]]/Frequency</f>
        <v>4.0131E-2</v>
      </c>
      <c r="H97" s="1">
        <f>Table1[[#This Row],[Duty]]/Frequency</f>
        <v>4.5500000000000001E-5</v>
      </c>
      <c r="I97" s="1">
        <f>Table1[[#This Row],[Pout]]/Vin</f>
        <v>13.65</v>
      </c>
      <c r="J97" s="1">
        <f>Vin*Table1[[#This Row],[Idc]]*Table1[[#This Row],[Time On]]</f>
        <v>1.8259605000000002E-2</v>
      </c>
      <c r="K97" s="1">
        <f>Table1[[#This Row],[Energy/Cycle]]-Table1[[#This Row],[Edc]]</f>
        <v>2.1871394999999998E-2</v>
      </c>
      <c r="L97" s="1">
        <f>2*Table1[[#This Row],[E Capacitor]]/(Vin^2-(Vin-V_ripple)^2)</f>
        <v>1.5006102915951984E-3</v>
      </c>
      <c r="M97" s="1">
        <f>Table1[[#This Row],[Energy/Cycle]]-(Table1[[#This Row],[E Capacitor]]+Table1[[#This Row],[Edc]])</f>
        <v>0</v>
      </c>
    </row>
    <row r="98" spans="1:13" x14ac:dyDescent="0.25">
      <c r="A98">
        <v>0.46</v>
      </c>
      <c r="B98">
        <f t="shared" si="4"/>
        <v>13.523999999999999</v>
      </c>
      <c r="C98">
        <f t="shared" si="5"/>
        <v>6.0857999999999999</v>
      </c>
      <c r="D98">
        <f>Irms-Table1[[#This Row],[Ripple Current (A)]]</f>
        <v>23.914200000000001</v>
      </c>
      <c r="E98">
        <f>Irms+Table1[[#This Row],[Ripple Current (A)]]</f>
        <v>36.085799999999999</v>
      </c>
      <c r="F98">
        <f>Table1[[#This Row],[Vout]]*(Table1[[#This Row],[Imin]]+Table1[[#This Row],[Ripple Current (A)]])</f>
        <v>405.71999999999997</v>
      </c>
      <c r="G98" s="1">
        <f>Table1[[#This Row],[Pout]]/Frequency</f>
        <v>4.0571999999999997E-2</v>
      </c>
      <c r="H98" s="1">
        <f>Table1[[#This Row],[Duty]]/Frequency</f>
        <v>4.6E-5</v>
      </c>
      <c r="I98" s="1">
        <f>Table1[[#This Row],[Pout]]/Vin</f>
        <v>13.799999999999999</v>
      </c>
      <c r="J98" s="1">
        <f>Vin*Table1[[#This Row],[Idc]]*Table1[[#This Row],[Time On]]</f>
        <v>1.8663119999999998E-2</v>
      </c>
      <c r="K98" s="1">
        <f>Table1[[#This Row],[Energy/Cycle]]-Table1[[#This Row],[Edc]]</f>
        <v>2.1908879999999999E-2</v>
      </c>
      <c r="L98" s="1">
        <f>2*Table1[[#This Row],[E Capacitor]]/(Vin^2-(Vin-V_ripple)^2)</f>
        <v>1.5031821612349924E-3</v>
      </c>
      <c r="M98" s="1">
        <f>Table1[[#This Row],[Energy/Cycle]]-(Table1[[#This Row],[E Capacitor]]+Table1[[#This Row],[Edc]])</f>
        <v>0</v>
      </c>
    </row>
    <row r="99" spans="1:13" x14ac:dyDescent="0.25">
      <c r="A99">
        <v>0.46500000000000002</v>
      </c>
      <c r="B99">
        <f t="shared" si="4"/>
        <v>13.670999999999999</v>
      </c>
      <c r="C99">
        <f t="shared" si="5"/>
        <v>6.0949875000000002</v>
      </c>
      <c r="D99">
        <f>Irms-Table1[[#This Row],[Ripple Current (A)]]</f>
        <v>23.905012499999998</v>
      </c>
      <c r="E99">
        <f>Irms+Table1[[#This Row],[Ripple Current (A)]]</f>
        <v>36.094987500000002</v>
      </c>
      <c r="F99">
        <f>Table1[[#This Row],[Vout]]*(Table1[[#This Row],[Imin]]+Table1[[#This Row],[Ripple Current (A)]])</f>
        <v>410.13</v>
      </c>
      <c r="G99" s="1">
        <f>Table1[[#This Row],[Pout]]/Frequency</f>
        <v>4.1013000000000001E-2</v>
      </c>
      <c r="H99" s="1">
        <f>Table1[[#This Row],[Duty]]/Frequency</f>
        <v>4.6500000000000005E-5</v>
      </c>
      <c r="I99" s="1">
        <f>Table1[[#This Row],[Pout]]/Vin</f>
        <v>13.950000000000001</v>
      </c>
      <c r="J99" s="1">
        <f>Vin*Table1[[#This Row],[Idc]]*Table1[[#This Row],[Time On]]</f>
        <v>1.9071045000000002E-2</v>
      </c>
      <c r="K99" s="1">
        <f>Table1[[#This Row],[Energy/Cycle]]-Table1[[#This Row],[Edc]]</f>
        <v>2.1941954999999999E-2</v>
      </c>
      <c r="L99" s="1">
        <f>2*Table1[[#This Row],[E Capacitor]]/(Vin^2-(Vin-V_ripple)^2)</f>
        <v>1.5054514579759873E-3</v>
      </c>
      <c r="M99" s="1">
        <f>Table1[[#This Row],[Energy/Cycle]]-(Table1[[#This Row],[E Capacitor]]+Table1[[#This Row],[Edc]])</f>
        <v>0</v>
      </c>
    </row>
    <row r="100" spans="1:13" x14ac:dyDescent="0.25">
      <c r="A100">
        <v>0.47</v>
      </c>
      <c r="B100">
        <f t="shared" si="4"/>
        <v>13.817999999999998</v>
      </c>
      <c r="C100">
        <f t="shared" si="5"/>
        <v>6.1029499999999999</v>
      </c>
      <c r="D100">
        <f>Irms-Table1[[#This Row],[Ripple Current (A)]]</f>
        <v>23.89705</v>
      </c>
      <c r="E100">
        <f>Irms+Table1[[#This Row],[Ripple Current (A)]]</f>
        <v>36.10295</v>
      </c>
      <c r="F100">
        <f>Table1[[#This Row],[Vout]]*(Table1[[#This Row],[Imin]]+Table1[[#This Row],[Ripple Current (A)]])</f>
        <v>414.53999999999996</v>
      </c>
      <c r="G100" s="1">
        <f>Table1[[#This Row],[Pout]]/Frequency</f>
        <v>4.1453999999999998E-2</v>
      </c>
      <c r="H100" s="1">
        <f>Table1[[#This Row],[Duty]]/Frequency</f>
        <v>4.6999999999999997E-5</v>
      </c>
      <c r="I100" s="1">
        <f>Table1[[#This Row],[Pout]]/Vin</f>
        <v>14.1</v>
      </c>
      <c r="J100" s="1">
        <f>Vin*Table1[[#This Row],[Idc]]*Table1[[#This Row],[Time On]]</f>
        <v>1.9483379999999998E-2</v>
      </c>
      <c r="K100" s="1">
        <f>Table1[[#This Row],[Energy/Cycle]]-Table1[[#This Row],[Edc]]</f>
        <v>2.197062E-2</v>
      </c>
      <c r="L100" s="1">
        <f>2*Table1[[#This Row],[E Capacitor]]/(Vin^2-(Vin-V_ripple)^2)</f>
        <v>1.5074181818181831E-3</v>
      </c>
      <c r="M100" s="1">
        <f>Table1[[#This Row],[Energy/Cycle]]-(Table1[[#This Row],[E Capacitor]]+Table1[[#This Row],[Edc]])</f>
        <v>0</v>
      </c>
    </row>
    <row r="101" spans="1:13" x14ac:dyDescent="0.25">
      <c r="A101">
        <v>0.47499999999999998</v>
      </c>
      <c r="B101">
        <f t="shared" si="4"/>
        <v>13.964999999999998</v>
      </c>
      <c r="C101">
        <f t="shared" si="5"/>
        <v>6.1096874999999997</v>
      </c>
      <c r="D101">
        <f>Irms-Table1[[#This Row],[Ripple Current (A)]]</f>
        <v>23.8903125</v>
      </c>
      <c r="E101">
        <f>Irms+Table1[[#This Row],[Ripple Current (A)]]</f>
        <v>36.1096875</v>
      </c>
      <c r="F101">
        <f>Table1[[#This Row],[Vout]]*(Table1[[#This Row],[Imin]]+Table1[[#This Row],[Ripple Current (A)]])</f>
        <v>418.94999999999993</v>
      </c>
      <c r="G101" s="1">
        <f>Table1[[#This Row],[Pout]]/Frequency</f>
        <v>4.1894999999999995E-2</v>
      </c>
      <c r="H101" s="1">
        <f>Table1[[#This Row],[Duty]]/Frequency</f>
        <v>4.7499999999999996E-5</v>
      </c>
      <c r="I101" s="1">
        <f>Table1[[#This Row],[Pout]]/Vin</f>
        <v>14.249999999999998</v>
      </c>
      <c r="J101" s="1">
        <f>Vin*Table1[[#This Row],[Idc]]*Table1[[#This Row],[Time On]]</f>
        <v>1.9900124999999994E-2</v>
      </c>
      <c r="K101" s="1">
        <f>Table1[[#This Row],[Energy/Cycle]]-Table1[[#This Row],[Edc]]</f>
        <v>2.1994875000000001E-2</v>
      </c>
      <c r="L101" s="1">
        <f>2*Table1[[#This Row],[E Capacitor]]/(Vin^2-(Vin-V_ripple)^2)</f>
        <v>1.5090823327615793E-3</v>
      </c>
      <c r="M101" s="1">
        <f>Table1[[#This Row],[Energy/Cycle]]-(Table1[[#This Row],[E Capacitor]]+Table1[[#This Row],[Edc]])</f>
        <v>0</v>
      </c>
    </row>
    <row r="102" spans="1:13" x14ac:dyDescent="0.25">
      <c r="A102">
        <v>0.48</v>
      </c>
      <c r="B102">
        <f t="shared" si="4"/>
        <v>14.111999999999998</v>
      </c>
      <c r="C102">
        <f t="shared" si="5"/>
        <v>6.1151999999999997</v>
      </c>
      <c r="D102">
        <f>Irms-Table1[[#This Row],[Ripple Current (A)]]</f>
        <v>23.884799999999998</v>
      </c>
      <c r="E102">
        <f>Irms+Table1[[#This Row],[Ripple Current (A)]]</f>
        <v>36.115200000000002</v>
      </c>
      <c r="F102">
        <f>Table1[[#This Row],[Vout]]*(Table1[[#This Row],[Imin]]+Table1[[#This Row],[Ripple Current (A)]])</f>
        <v>423.35999999999996</v>
      </c>
      <c r="G102" s="1">
        <f>Table1[[#This Row],[Pout]]/Frequency</f>
        <v>4.2335999999999999E-2</v>
      </c>
      <c r="H102" s="1">
        <f>Table1[[#This Row],[Duty]]/Frequency</f>
        <v>4.8000000000000001E-5</v>
      </c>
      <c r="I102" s="1">
        <f>Table1[[#This Row],[Pout]]/Vin</f>
        <v>14.399999999999999</v>
      </c>
      <c r="J102" s="1">
        <f>Vin*Table1[[#This Row],[Idc]]*Table1[[#This Row],[Time On]]</f>
        <v>2.0321279999999997E-2</v>
      </c>
      <c r="K102" s="1">
        <f>Table1[[#This Row],[Energy/Cycle]]-Table1[[#This Row],[Edc]]</f>
        <v>2.2014720000000002E-2</v>
      </c>
      <c r="L102" s="1">
        <f>2*Table1[[#This Row],[E Capacitor]]/(Vin^2-(Vin-V_ripple)^2)</f>
        <v>1.5104439108061763E-3</v>
      </c>
      <c r="M102" s="1">
        <f>Table1[[#This Row],[Energy/Cycle]]-(Table1[[#This Row],[E Capacitor]]+Table1[[#This Row],[Edc]])</f>
        <v>0</v>
      </c>
    </row>
    <row r="103" spans="1:13" x14ac:dyDescent="0.25">
      <c r="A103">
        <v>0.48499999999999999</v>
      </c>
      <c r="B103">
        <f t="shared" ref="B103:B134" si="6">A103*Vin</f>
        <v>14.258999999999999</v>
      </c>
      <c r="C103">
        <f t="shared" ref="C103:C134" si="7">(Vin-B103)*A103/(Frequency*Inductance)</f>
        <v>6.1194875</v>
      </c>
      <c r="D103">
        <f>Irms-Table1[[#This Row],[Ripple Current (A)]]</f>
        <v>23.880512500000002</v>
      </c>
      <c r="E103">
        <f>Irms+Table1[[#This Row],[Ripple Current (A)]]</f>
        <v>36.119487499999998</v>
      </c>
      <c r="F103">
        <f>Table1[[#This Row],[Vout]]*(Table1[[#This Row],[Imin]]+Table1[[#This Row],[Ripple Current (A)]])</f>
        <v>427.77</v>
      </c>
      <c r="G103" s="1">
        <f>Table1[[#This Row],[Pout]]/Frequency</f>
        <v>4.2776999999999996E-2</v>
      </c>
      <c r="H103" s="1">
        <f>Table1[[#This Row],[Duty]]/Frequency</f>
        <v>4.85E-5</v>
      </c>
      <c r="I103" s="1">
        <f>Table1[[#This Row],[Pout]]/Vin</f>
        <v>14.55</v>
      </c>
      <c r="J103" s="1">
        <f>Vin*Table1[[#This Row],[Idc]]*Table1[[#This Row],[Time On]]</f>
        <v>2.0746845E-2</v>
      </c>
      <c r="K103" s="1">
        <f>Table1[[#This Row],[Energy/Cycle]]-Table1[[#This Row],[Edc]]</f>
        <v>2.2030154999999996E-2</v>
      </c>
      <c r="L103" s="1">
        <f>2*Table1[[#This Row],[E Capacitor]]/(Vin^2-(Vin-V_ripple)^2)</f>
        <v>1.5115029159519734E-3</v>
      </c>
      <c r="M103" s="1">
        <f>Table1[[#This Row],[Energy/Cycle]]-(Table1[[#This Row],[E Capacitor]]+Table1[[#This Row],[Edc]])</f>
        <v>0</v>
      </c>
    </row>
    <row r="104" spans="1:13" x14ac:dyDescent="0.25">
      <c r="A104">
        <v>0.49</v>
      </c>
      <c r="B104">
        <f t="shared" si="6"/>
        <v>14.405999999999999</v>
      </c>
      <c r="C104">
        <f t="shared" si="7"/>
        <v>6.1225500000000004</v>
      </c>
      <c r="D104">
        <f>Irms-Table1[[#This Row],[Ripple Current (A)]]</f>
        <v>23.87745</v>
      </c>
      <c r="E104">
        <f>Irms+Table1[[#This Row],[Ripple Current (A)]]</f>
        <v>36.122550000000004</v>
      </c>
      <c r="F104">
        <f>Table1[[#This Row],[Vout]]*(Table1[[#This Row],[Imin]]+Table1[[#This Row],[Ripple Current (A)]])</f>
        <v>432.17999999999995</v>
      </c>
      <c r="G104" s="1">
        <f>Table1[[#This Row],[Pout]]/Frequency</f>
        <v>4.3217999999999993E-2</v>
      </c>
      <c r="H104" s="1">
        <f>Table1[[#This Row],[Duty]]/Frequency</f>
        <v>4.8999999999999998E-5</v>
      </c>
      <c r="I104" s="1">
        <f>Table1[[#This Row],[Pout]]/Vin</f>
        <v>14.7</v>
      </c>
      <c r="J104" s="1">
        <f>Vin*Table1[[#This Row],[Idc]]*Table1[[#This Row],[Time On]]</f>
        <v>2.1176819999999996E-2</v>
      </c>
      <c r="K104" s="1">
        <f>Table1[[#This Row],[Energy/Cycle]]-Table1[[#This Row],[Edc]]</f>
        <v>2.2041179999999997E-2</v>
      </c>
      <c r="L104" s="1">
        <f>2*Table1[[#This Row],[E Capacitor]]/(Vin^2-(Vin-V_ripple)^2)</f>
        <v>1.5122593481989718E-3</v>
      </c>
      <c r="M104" s="1">
        <f>Table1[[#This Row],[Energy/Cycle]]-(Table1[[#This Row],[E Capacitor]]+Table1[[#This Row],[Edc]])</f>
        <v>0</v>
      </c>
    </row>
    <row r="105" spans="1:13" x14ac:dyDescent="0.25">
      <c r="A105">
        <v>0.495</v>
      </c>
      <c r="B105">
        <f t="shared" si="6"/>
        <v>14.552999999999999</v>
      </c>
      <c r="C105">
        <f t="shared" si="7"/>
        <v>6.1243875000000001</v>
      </c>
      <c r="D105">
        <f>Irms-Table1[[#This Row],[Ripple Current (A)]]</f>
        <v>23.875612499999999</v>
      </c>
      <c r="E105">
        <f>Irms+Table1[[#This Row],[Ripple Current (A)]]</f>
        <v>36.124387499999997</v>
      </c>
      <c r="F105">
        <f>Table1[[#This Row],[Vout]]*(Table1[[#This Row],[Imin]]+Table1[[#This Row],[Ripple Current (A)]])</f>
        <v>436.59</v>
      </c>
      <c r="G105" s="1">
        <f>Table1[[#This Row],[Pout]]/Frequency</f>
        <v>4.3658999999999996E-2</v>
      </c>
      <c r="H105" s="1">
        <f>Table1[[#This Row],[Duty]]/Frequency</f>
        <v>4.9499999999999997E-5</v>
      </c>
      <c r="I105" s="1">
        <f>Table1[[#This Row],[Pout]]/Vin</f>
        <v>14.85</v>
      </c>
      <c r="J105" s="1">
        <f>Vin*Table1[[#This Row],[Idc]]*Table1[[#This Row],[Time On]]</f>
        <v>2.1611204999999998E-2</v>
      </c>
      <c r="K105" s="1">
        <f>Table1[[#This Row],[Energy/Cycle]]-Table1[[#This Row],[Edc]]</f>
        <v>2.2047794999999999E-2</v>
      </c>
      <c r="L105" s="1">
        <f>2*Table1[[#This Row],[E Capacitor]]/(Vin^2-(Vin-V_ripple)^2)</f>
        <v>1.5127132075471708E-3</v>
      </c>
      <c r="M105" s="1">
        <f>Table1[[#This Row],[Energy/Cycle]]-(Table1[[#This Row],[E Capacitor]]+Table1[[#This Row],[Edc]])</f>
        <v>0</v>
      </c>
    </row>
    <row r="106" spans="1:13" x14ac:dyDescent="0.25">
      <c r="A106">
        <v>0.5</v>
      </c>
      <c r="B106">
        <f t="shared" si="6"/>
        <v>14.7</v>
      </c>
      <c r="C106">
        <f t="shared" si="7"/>
        <v>6.125</v>
      </c>
      <c r="D106">
        <f>Irms-Table1[[#This Row],[Ripple Current (A)]]</f>
        <v>23.875</v>
      </c>
      <c r="E106">
        <f>Irms+Table1[[#This Row],[Ripple Current (A)]]</f>
        <v>36.125</v>
      </c>
      <c r="F106">
        <f>Table1[[#This Row],[Vout]]*(Table1[[#This Row],[Imin]]+Table1[[#This Row],[Ripple Current (A)]])</f>
        <v>441</v>
      </c>
      <c r="G106" s="1">
        <f>Table1[[#This Row],[Pout]]/Frequency</f>
        <v>4.41E-2</v>
      </c>
      <c r="H106" s="1">
        <f>Table1[[#This Row],[Duty]]/Frequency</f>
        <v>5.0000000000000002E-5</v>
      </c>
      <c r="I106" s="1">
        <f>Table1[[#This Row],[Pout]]/Vin</f>
        <v>15</v>
      </c>
      <c r="J106" s="1">
        <f>Vin*Table1[[#This Row],[Idc]]*Table1[[#This Row],[Time On]]</f>
        <v>2.205E-2</v>
      </c>
      <c r="K106" s="1">
        <f>Table1[[#This Row],[Energy/Cycle]]-Table1[[#This Row],[Edc]]</f>
        <v>2.205E-2</v>
      </c>
      <c r="L106" s="1">
        <f>2*Table1[[#This Row],[E Capacitor]]/(Vin^2-(Vin-V_ripple)^2)</f>
        <v>1.5128644939965707E-3</v>
      </c>
      <c r="M106" s="1">
        <f>Table1[[#This Row],[Energy/Cycle]]-(Table1[[#This Row],[E Capacitor]]+Table1[[#This Row],[Edc]])</f>
        <v>0</v>
      </c>
    </row>
    <row r="107" spans="1:13" x14ac:dyDescent="0.25">
      <c r="A107">
        <v>0.505</v>
      </c>
      <c r="B107">
        <f t="shared" si="6"/>
        <v>14.847</v>
      </c>
      <c r="C107">
        <f t="shared" si="7"/>
        <v>6.1243875000000001</v>
      </c>
      <c r="D107">
        <f>Irms-Table1[[#This Row],[Ripple Current (A)]]</f>
        <v>23.875612499999999</v>
      </c>
      <c r="E107">
        <f>Irms+Table1[[#This Row],[Ripple Current (A)]]</f>
        <v>36.124387499999997</v>
      </c>
      <c r="F107">
        <f>Table1[[#This Row],[Vout]]*(Table1[[#This Row],[Imin]]+Table1[[#This Row],[Ripple Current (A)]])</f>
        <v>445.40999999999997</v>
      </c>
      <c r="G107" s="1">
        <f>Table1[[#This Row],[Pout]]/Frequency</f>
        <v>4.4540999999999997E-2</v>
      </c>
      <c r="H107" s="1">
        <f>Table1[[#This Row],[Duty]]/Frequency</f>
        <v>5.0500000000000001E-5</v>
      </c>
      <c r="I107" s="1">
        <f>Table1[[#This Row],[Pout]]/Vin</f>
        <v>15.15</v>
      </c>
      <c r="J107" s="1">
        <f>Vin*Table1[[#This Row],[Idc]]*Table1[[#This Row],[Time On]]</f>
        <v>2.2493204999999999E-2</v>
      </c>
      <c r="K107" s="1">
        <f>Table1[[#This Row],[Energy/Cycle]]-Table1[[#This Row],[Edc]]</f>
        <v>2.2047794999999999E-2</v>
      </c>
      <c r="L107" s="1">
        <f>2*Table1[[#This Row],[E Capacitor]]/(Vin^2-(Vin-V_ripple)^2)</f>
        <v>1.5127132075471708E-3</v>
      </c>
      <c r="M107" s="1">
        <f>Table1[[#This Row],[Energy/Cycle]]-(Table1[[#This Row],[E Capacitor]]+Table1[[#This Row],[Edc]])</f>
        <v>0</v>
      </c>
    </row>
    <row r="108" spans="1:13" x14ac:dyDescent="0.25">
      <c r="A108">
        <v>0.51</v>
      </c>
      <c r="B108">
        <f t="shared" si="6"/>
        <v>14.994</v>
      </c>
      <c r="C108">
        <f t="shared" si="7"/>
        <v>6.1225500000000004</v>
      </c>
      <c r="D108">
        <f>Irms-Table1[[#This Row],[Ripple Current (A)]]</f>
        <v>23.87745</v>
      </c>
      <c r="E108">
        <f>Irms+Table1[[#This Row],[Ripple Current (A)]]</f>
        <v>36.122550000000004</v>
      </c>
      <c r="F108">
        <f>Table1[[#This Row],[Vout]]*(Table1[[#This Row],[Imin]]+Table1[[#This Row],[Ripple Current (A)]])</f>
        <v>449.82</v>
      </c>
      <c r="G108" s="1">
        <f>Table1[[#This Row],[Pout]]/Frequency</f>
        <v>4.4982000000000001E-2</v>
      </c>
      <c r="H108" s="1">
        <f>Table1[[#This Row],[Duty]]/Frequency</f>
        <v>5.1E-5</v>
      </c>
      <c r="I108" s="1">
        <f>Table1[[#This Row],[Pout]]/Vin</f>
        <v>15.3</v>
      </c>
      <c r="J108" s="1">
        <f>Vin*Table1[[#This Row],[Idc]]*Table1[[#This Row],[Time On]]</f>
        <v>2.2940820000000001E-2</v>
      </c>
      <c r="K108" s="1">
        <f>Table1[[#This Row],[Energy/Cycle]]-Table1[[#This Row],[Edc]]</f>
        <v>2.204118E-2</v>
      </c>
      <c r="L108" s="1">
        <f>2*Table1[[#This Row],[E Capacitor]]/(Vin^2-(Vin-V_ripple)^2)</f>
        <v>1.512259348198972E-3</v>
      </c>
      <c r="M108" s="1">
        <f>Table1[[#This Row],[Energy/Cycle]]-(Table1[[#This Row],[E Capacitor]]+Table1[[#This Row],[Edc]])</f>
        <v>0</v>
      </c>
    </row>
    <row r="109" spans="1:13" x14ac:dyDescent="0.25">
      <c r="A109">
        <v>0.51500000000000001</v>
      </c>
      <c r="B109">
        <f t="shared" si="6"/>
        <v>15.141</v>
      </c>
      <c r="C109">
        <f t="shared" si="7"/>
        <v>6.1194875</v>
      </c>
      <c r="D109">
        <f>Irms-Table1[[#This Row],[Ripple Current (A)]]</f>
        <v>23.880512500000002</v>
      </c>
      <c r="E109">
        <f>Irms+Table1[[#This Row],[Ripple Current (A)]]</f>
        <v>36.119487499999998</v>
      </c>
      <c r="F109">
        <f>Table1[[#This Row],[Vout]]*(Table1[[#This Row],[Imin]]+Table1[[#This Row],[Ripple Current (A)]])</f>
        <v>454.23</v>
      </c>
      <c r="G109" s="1">
        <f>Table1[[#This Row],[Pout]]/Frequency</f>
        <v>4.5423000000000005E-2</v>
      </c>
      <c r="H109" s="1">
        <f>Table1[[#This Row],[Duty]]/Frequency</f>
        <v>5.1499999999999998E-5</v>
      </c>
      <c r="I109" s="1">
        <f>Table1[[#This Row],[Pout]]/Vin</f>
        <v>15.450000000000001</v>
      </c>
      <c r="J109" s="1">
        <f>Vin*Table1[[#This Row],[Idc]]*Table1[[#This Row],[Time On]]</f>
        <v>2.3392844999999999E-2</v>
      </c>
      <c r="K109" s="1">
        <f>Table1[[#This Row],[Energy/Cycle]]-Table1[[#This Row],[Edc]]</f>
        <v>2.2030155000000006E-2</v>
      </c>
      <c r="L109" s="1">
        <f>2*Table1[[#This Row],[E Capacitor]]/(Vin^2-(Vin-V_ripple)^2)</f>
        <v>1.5115029159519741E-3</v>
      </c>
      <c r="M109" s="1">
        <f>Table1[[#This Row],[Energy/Cycle]]-(Table1[[#This Row],[E Capacitor]]+Table1[[#This Row],[Edc]])</f>
        <v>0</v>
      </c>
    </row>
    <row r="110" spans="1:13" x14ac:dyDescent="0.25">
      <c r="A110">
        <v>0.52</v>
      </c>
      <c r="B110">
        <f t="shared" si="6"/>
        <v>15.288</v>
      </c>
      <c r="C110">
        <f t="shared" si="7"/>
        <v>6.1151999999999997</v>
      </c>
      <c r="D110">
        <f>Irms-Table1[[#This Row],[Ripple Current (A)]]</f>
        <v>23.884799999999998</v>
      </c>
      <c r="E110">
        <f>Irms+Table1[[#This Row],[Ripple Current (A)]]</f>
        <v>36.115200000000002</v>
      </c>
      <c r="F110">
        <f>Table1[[#This Row],[Vout]]*(Table1[[#This Row],[Imin]]+Table1[[#This Row],[Ripple Current (A)]])</f>
        <v>458.64</v>
      </c>
      <c r="G110" s="1">
        <f>Table1[[#This Row],[Pout]]/Frequency</f>
        <v>4.5864000000000002E-2</v>
      </c>
      <c r="H110" s="1">
        <f>Table1[[#This Row],[Duty]]/Frequency</f>
        <v>5.2000000000000004E-5</v>
      </c>
      <c r="I110" s="1">
        <f>Table1[[#This Row],[Pout]]/Vin</f>
        <v>15.6</v>
      </c>
      <c r="J110" s="1">
        <f>Vin*Table1[[#This Row],[Idc]]*Table1[[#This Row],[Time On]]</f>
        <v>2.384928E-2</v>
      </c>
      <c r="K110" s="1">
        <f>Table1[[#This Row],[Energy/Cycle]]-Table1[[#This Row],[Edc]]</f>
        <v>2.2014720000000002E-2</v>
      </c>
      <c r="L110" s="1">
        <f>2*Table1[[#This Row],[E Capacitor]]/(Vin^2-(Vin-V_ripple)^2)</f>
        <v>1.5104439108061763E-3</v>
      </c>
      <c r="M110" s="1">
        <f>Table1[[#This Row],[Energy/Cycle]]-(Table1[[#This Row],[E Capacitor]]+Table1[[#This Row],[Edc]])</f>
        <v>0</v>
      </c>
    </row>
    <row r="111" spans="1:13" x14ac:dyDescent="0.25">
      <c r="A111">
        <v>0.52500000000000002</v>
      </c>
      <c r="B111">
        <f t="shared" si="6"/>
        <v>15.435</v>
      </c>
      <c r="C111">
        <f t="shared" si="7"/>
        <v>6.1096874999999997</v>
      </c>
      <c r="D111">
        <f>Irms-Table1[[#This Row],[Ripple Current (A)]]</f>
        <v>23.8903125</v>
      </c>
      <c r="E111">
        <f>Irms+Table1[[#This Row],[Ripple Current (A)]]</f>
        <v>36.1096875</v>
      </c>
      <c r="F111">
        <f>Table1[[#This Row],[Vout]]*(Table1[[#This Row],[Imin]]+Table1[[#This Row],[Ripple Current (A)]])</f>
        <v>463.05</v>
      </c>
      <c r="G111" s="1">
        <f>Table1[[#This Row],[Pout]]/Frequency</f>
        <v>4.6304999999999999E-2</v>
      </c>
      <c r="H111" s="1">
        <f>Table1[[#This Row],[Duty]]/Frequency</f>
        <v>5.2500000000000002E-5</v>
      </c>
      <c r="I111" s="1">
        <f>Table1[[#This Row],[Pout]]/Vin</f>
        <v>15.750000000000002</v>
      </c>
      <c r="J111" s="1">
        <f>Vin*Table1[[#This Row],[Idc]]*Table1[[#This Row],[Time On]]</f>
        <v>2.4310125000000002E-2</v>
      </c>
      <c r="K111" s="1">
        <f>Table1[[#This Row],[Energy/Cycle]]-Table1[[#This Row],[Edc]]</f>
        <v>2.1994874999999997E-2</v>
      </c>
      <c r="L111" s="1">
        <f>2*Table1[[#This Row],[E Capacitor]]/(Vin^2-(Vin-V_ripple)^2)</f>
        <v>1.5090823327615791E-3</v>
      </c>
      <c r="M111" s="1">
        <f>Table1[[#This Row],[Energy/Cycle]]-(Table1[[#This Row],[E Capacitor]]+Table1[[#This Row],[Edc]])</f>
        <v>0</v>
      </c>
    </row>
    <row r="112" spans="1:13" x14ac:dyDescent="0.25">
      <c r="A112">
        <v>0.53</v>
      </c>
      <c r="B112">
        <f t="shared" si="6"/>
        <v>15.582000000000001</v>
      </c>
      <c r="C112">
        <f t="shared" si="7"/>
        <v>6.1029499999999999</v>
      </c>
      <c r="D112">
        <f>Irms-Table1[[#This Row],[Ripple Current (A)]]</f>
        <v>23.89705</v>
      </c>
      <c r="E112">
        <f>Irms+Table1[[#This Row],[Ripple Current (A)]]</f>
        <v>36.10295</v>
      </c>
      <c r="F112">
        <f>Table1[[#This Row],[Vout]]*(Table1[[#This Row],[Imin]]+Table1[[#This Row],[Ripple Current (A)]])</f>
        <v>467.46000000000004</v>
      </c>
      <c r="G112" s="1">
        <f>Table1[[#This Row],[Pout]]/Frequency</f>
        <v>4.6746000000000003E-2</v>
      </c>
      <c r="H112" s="1">
        <f>Table1[[#This Row],[Duty]]/Frequency</f>
        <v>5.3000000000000001E-5</v>
      </c>
      <c r="I112" s="1">
        <f>Table1[[#This Row],[Pout]]/Vin</f>
        <v>15.900000000000002</v>
      </c>
      <c r="J112" s="1">
        <f>Vin*Table1[[#This Row],[Idc]]*Table1[[#This Row],[Time On]]</f>
        <v>2.4775380000000003E-2</v>
      </c>
      <c r="K112" s="1">
        <f>Table1[[#This Row],[Energy/Cycle]]-Table1[[#This Row],[Edc]]</f>
        <v>2.197062E-2</v>
      </c>
      <c r="L112" s="1">
        <f>2*Table1[[#This Row],[E Capacitor]]/(Vin^2-(Vin-V_ripple)^2)</f>
        <v>1.5074181818181831E-3</v>
      </c>
      <c r="M112" s="1">
        <f>Table1[[#This Row],[Energy/Cycle]]-(Table1[[#This Row],[E Capacitor]]+Table1[[#This Row],[Edc]])</f>
        <v>0</v>
      </c>
    </row>
    <row r="113" spans="1:13" x14ac:dyDescent="0.25">
      <c r="A113">
        <v>0.53500000000000003</v>
      </c>
      <c r="B113">
        <f t="shared" si="6"/>
        <v>15.729000000000001</v>
      </c>
      <c r="C113">
        <f t="shared" si="7"/>
        <v>6.0949874999999993</v>
      </c>
      <c r="D113">
        <f>Irms-Table1[[#This Row],[Ripple Current (A)]]</f>
        <v>23.905012500000002</v>
      </c>
      <c r="E113">
        <f>Irms+Table1[[#This Row],[Ripple Current (A)]]</f>
        <v>36.094987500000002</v>
      </c>
      <c r="F113">
        <f>Table1[[#This Row],[Vout]]*(Table1[[#This Row],[Imin]]+Table1[[#This Row],[Ripple Current (A)]])</f>
        <v>471.87</v>
      </c>
      <c r="G113" s="1">
        <f>Table1[[#This Row],[Pout]]/Frequency</f>
        <v>4.7187E-2</v>
      </c>
      <c r="H113" s="1">
        <f>Table1[[#This Row],[Duty]]/Frequency</f>
        <v>5.3500000000000006E-5</v>
      </c>
      <c r="I113" s="1">
        <f>Table1[[#This Row],[Pout]]/Vin</f>
        <v>16.05</v>
      </c>
      <c r="J113" s="1">
        <f>Vin*Table1[[#This Row],[Idc]]*Table1[[#This Row],[Time On]]</f>
        <v>2.5245045000000004E-2</v>
      </c>
      <c r="K113" s="1">
        <f>Table1[[#This Row],[Energy/Cycle]]-Table1[[#This Row],[Edc]]</f>
        <v>2.1941954999999996E-2</v>
      </c>
      <c r="L113" s="1">
        <f>2*Table1[[#This Row],[E Capacitor]]/(Vin^2-(Vin-V_ripple)^2)</f>
        <v>1.5054514579759871E-3</v>
      </c>
      <c r="M113" s="1">
        <f>Table1[[#This Row],[Energy/Cycle]]-(Table1[[#This Row],[E Capacitor]]+Table1[[#This Row],[Edc]])</f>
        <v>0</v>
      </c>
    </row>
    <row r="114" spans="1:13" x14ac:dyDescent="0.25">
      <c r="A114">
        <v>0.54</v>
      </c>
      <c r="B114">
        <f t="shared" si="6"/>
        <v>15.875999999999999</v>
      </c>
      <c r="C114">
        <f t="shared" si="7"/>
        <v>6.0857999999999999</v>
      </c>
      <c r="D114">
        <f>Irms-Table1[[#This Row],[Ripple Current (A)]]</f>
        <v>23.914200000000001</v>
      </c>
      <c r="E114">
        <f>Irms+Table1[[#This Row],[Ripple Current (A)]]</f>
        <v>36.085799999999999</v>
      </c>
      <c r="F114">
        <f>Table1[[#This Row],[Vout]]*(Table1[[#This Row],[Imin]]+Table1[[#This Row],[Ripple Current (A)]])</f>
        <v>476.28</v>
      </c>
      <c r="G114" s="1">
        <f>Table1[[#This Row],[Pout]]/Frequency</f>
        <v>4.7627999999999997E-2</v>
      </c>
      <c r="H114" s="1">
        <f>Table1[[#This Row],[Duty]]/Frequency</f>
        <v>5.4000000000000005E-5</v>
      </c>
      <c r="I114" s="1">
        <f>Table1[[#This Row],[Pout]]/Vin</f>
        <v>16.2</v>
      </c>
      <c r="J114" s="1">
        <f>Vin*Table1[[#This Row],[Idc]]*Table1[[#This Row],[Time On]]</f>
        <v>2.5719120000000002E-2</v>
      </c>
      <c r="K114" s="1">
        <f>Table1[[#This Row],[Energy/Cycle]]-Table1[[#This Row],[Edc]]</f>
        <v>2.1908879999999995E-2</v>
      </c>
      <c r="L114" s="1">
        <f>2*Table1[[#This Row],[E Capacitor]]/(Vin^2-(Vin-V_ripple)^2)</f>
        <v>1.5031821612349922E-3</v>
      </c>
      <c r="M114" s="1">
        <f>Table1[[#This Row],[Energy/Cycle]]-(Table1[[#This Row],[E Capacitor]]+Table1[[#This Row],[Edc]])</f>
        <v>0</v>
      </c>
    </row>
    <row r="115" spans="1:13" x14ac:dyDescent="0.25">
      <c r="A115">
        <v>0.54500000000000004</v>
      </c>
      <c r="B115">
        <f t="shared" si="6"/>
        <v>16.023</v>
      </c>
      <c r="C115">
        <f t="shared" si="7"/>
        <v>6.0753875000000006</v>
      </c>
      <c r="D115">
        <f>Irms-Table1[[#This Row],[Ripple Current (A)]]</f>
        <v>23.924612499999999</v>
      </c>
      <c r="E115">
        <f>Irms+Table1[[#This Row],[Ripple Current (A)]]</f>
        <v>36.075387499999998</v>
      </c>
      <c r="F115">
        <f>Table1[[#This Row],[Vout]]*(Table1[[#This Row],[Imin]]+Table1[[#This Row],[Ripple Current (A)]])</f>
        <v>480.69</v>
      </c>
      <c r="G115" s="1">
        <f>Table1[[#This Row],[Pout]]/Frequency</f>
        <v>4.8069000000000001E-2</v>
      </c>
      <c r="H115" s="1">
        <f>Table1[[#This Row],[Duty]]/Frequency</f>
        <v>5.4500000000000003E-5</v>
      </c>
      <c r="I115" s="1">
        <f>Table1[[#This Row],[Pout]]/Vin</f>
        <v>16.350000000000001</v>
      </c>
      <c r="J115" s="1">
        <f>Vin*Table1[[#This Row],[Idc]]*Table1[[#This Row],[Time On]]</f>
        <v>2.6197605000000002E-2</v>
      </c>
      <c r="K115" s="1">
        <f>Table1[[#This Row],[Energy/Cycle]]-Table1[[#This Row],[Edc]]</f>
        <v>2.1871394999999998E-2</v>
      </c>
      <c r="L115" s="1">
        <f>2*Table1[[#This Row],[E Capacitor]]/(Vin^2-(Vin-V_ripple)^2)</f>
        <v>1.5006102915951984E-3</v>
      </c>
      <c r="M115" s="1">
        <f>Table1[[#This Row],[Energy/Cycle]]-(Table1[[#This Row],[E Capacitor]]+Table1[[#This Row],[Edc]])</f>
        <v>0</v>
      </c>
    </row>
    <row r="116" spans="1:13" x14ac:dyDescent="0.25">
      <c r="A116">
        <v>0.55000000000000004</v>
      </c>
      <c r="B116">
        <f t="shared" si="6"/>
        <v>16.170000000000002</v>
      </c>
      <c r="C116">
        <f t="shared" si="7"/>
        <v>6.0637499999999989</v>
      </c>
      <c r="D116">
        <f>Irms-Table1[[#This Row],[Ripple Current (A)]]</f>
        <v>23.936250000000001</v>
      </c>
      <c r="E116">
        <f>Irms+Table1[[#This Row],[Ripple Current (A)]]</f>
        <v>36.063749999999999</v>
      </c>
      <c r="F116">
        <f>Table1[[#This Row],[Vout]]*(Table1[[#This Row],[Imin]]+Table1[[#This Row],[Ripple Current (A)]])</f>
        <v>485.1</v>
      </c>
      <c r="G116" s="1">
        <f>Table1[[#This Row],[Pout]]/Frequency</f>
        <v>4.8510000000000005E-2</v>
      </c>
      <c r="H116" s="1">
        <f>Table1[[#This Row],[Duty]]/Frequency</f>
        <v>5.5000000000000002E-5</v>
      </c>
      <c r="I116" s="1">
        <f>Table1[[#This Row],[Pout]]/Vin</f>
        <v>16.5</v>
      </c>
      <c r="J116" s="1">
        <f>Vin*Table1[[#This Row],[Idc]]*Table1[[#This Row],[Time On]]</f>
        <v>2.6680499999999999E-2</v>
      </c>
      <c r="K116" s="1">
        <f>Table1[[#This Row],[Energy/Cycle]]-Table1[[#This Row],[Edc]]</f>
        <v>2.1829500000000005E-2</v>
      </c>
      <c r="L116" s="1">
        <f>2*Table1[[#This Row],[E Capacitor]]/(Vin^2-(Vin-V_ripple)^2)</f>
        <v>1.4977358490566052E-3</v>
      </c>
      <c r="M116" s="1">
        <f>Table1[[#This Row],[Energy/Cycle]]-(Table1[[#This Row],[E Capacitor]]+Table1[[#This Row],[Edc]])</f>
        <v>0</v>
      </c>
    </row>
    <row r="117" spans="1:13" x14ac:dyDescent="0.25">
      <c r="A117">
        <v>0.55500000000000005</v>
      </c>
      <c r="B117">
        <f t="shared" si="6"/>
        <v>16.317</v>
      </c>
      <c r="C117">
        <f t="shared" si="7"/>
        <v>6.0508875</v>
      </c>
      <c r="D117">
        <f>Irms-Table1[[#This Row],[Ripple Current (A)]]</f>
        <v>23.949112499999998</v>
      </c>
      <c r="E117">
        <f>Irms+Table1[[#This Row],[Ripple Current (A)]]</f>
        <v>36.050887500000002</v>
      </c>
      <c r="F117">
        <f>Table1[[#This Row],[Vout]]*(Table1[[#This Row],[Imin]]+Table1[[#This Row],[Ripple Current (A)]])</f>
        <v>489.51</v>
      </c>
      <c r="G117" s="1">
        <f>Table1[[#This Row],[Pout]]/Frequency</f>
        <v>4.8951000000000001E-2</v>
      </c>
      <c r="H117" s="1">
        <f>Table1[[#This Row],[Duty]]/Frequency</f>
        <v>5.5500000000000007E-5</v>
      </c>
      <c r="I117" s="1">
        <f>Table1[[#This Row],[Pout]]/Vin</f>
        <v>16.650000000000002</v>
      </c>
      <c r="J117" s="1">
        <f>Vin*Table1[[#This Row],[Idc]]*Table1[[#This Row],[Time On]]</f>
        <v>2.7167805000000007E-2</v>
      </c>
      <c r="K117" s="1">
        <f>Table1[[#This Row],[Energy/Cycle]]-Table1[[#This Row],[Edc]]</f>
        <v>2.1783194999999995E-2</v>
      </c>
      <c r="L117" s="1">
        <f>2*Table1[[#This Row],[E Capacitor]]/(Vin^2-(Vin-V_ripple)^2)</f>
        <v>1.4945588336192119E-3</v>
      </c>
      <c r="M117" s="1">
        <f>Table1[[#This Row],[Energy/Cycle]]-(Table1[[#This Row],[E Capacitor]]+Table1[[#This Row],[Edc]])</f>
        <v>0</v>
      </c>
    </row>
    <row r="118" spans="1:13" x14ac:dyDescent="0.25">
      <c r="A118">
        <v>0.56000000000000005</v>
      </c>
      <c r="B118">
        <f t="shared" si="6"/>
        <v>16.464000000000002</v>
      </c>
      <c r="C118">
        <f t="shared" si="7"/>
        <v>6.0367999999999995</v>
      </c>
      <c r="D118">
        <f>Irms-Table1[[#This Row],[Ripple Current (A)]]</f>
        <v>23.963200000000001</v>
      </c>
      <c r="E118">
        <f>Irms+Table1[[#This Row],[Ripple Current (A)]]</f>
        <v>36.036799999999999</v>
      </c>
      <c r="F118">
        <f>Table1[[#This Row],[Vout]]*(Table1[[#This Row],[Imin]]+Table1[[#This Row],[Ripple Current (A)]])</f>
        <v>493.92000000000007</v>
      </c>
      <c r="G118" s="1">
        <f>Table1[[#This Row],[Pout]]/Frequency</f>
        <v>4.9392000000000005E-2</v>
      </c>
      <c r="H118" s="1">
        <f>Table1[[#This Row],[Duty]]/Frequency</f>
        <v>5.6000000000000006E-5</v>
      </c>
      <c r="I118" s="1">
        <f>Table1[[#This Row],[Pout]]/Vin</f>
        <v>16.800000000000004</v>
      </c>
      <c r="J118" s="1">
        <f>Vin*Table1[[#This Row],[Idc]]*Table1[[#This Row],[Time On]]</f>
        <v>2.765952000000001E-2</v>
      </c>
      <c r="K118" s="1">
        <f>Table1[[#This Row],[Energy/Cycle]]-Table1[[#This Row],[Edc]]</f>
        <v>2.1732479999999995E-2</v>
      </c>
      <c r="L118" s="1">
        <f>2*Table1[[#This Row],[E Capacitor]]/(Vin^2-(Vin-V_ripple)^2)</f>
        <v>1.4910792452830198E-3</v>
      </c>
      <c r="M118" s="1">
        <f>Table1[[#This Row],[Energy/Cycle]]-(Table1[[#This Row],[E Capacitor]]+Table1[[#This Row],[Edc]])</f>
        <v>0</v>
      </c>
    </row>
    <row r="119" spans="1:13" x14ac:dyDescent="0.25">
      <c r="A119">
        <v>0.56499999999999995</v>
      </c>
      <c r="B119">
        <f t="shared" si="6"/>
        <v>16.610999999999997</v>
      </c>
      <c r="C119">
        <f t="shared" si="7"/>
        <v>6.0214875000000001</v>
      </c>
      <c r="D119">
        <f>Irms-Table1[[#This Row],[Ripple Current (A)]]</f>
        <v>23.978512500000001</v>
      </c>
      <c r="E119">
        <f>Irms+Table1[[#This Row],[Ripple Current (A)]]</f>
        <v>36.021487499999999</v>
      </c>
      <c r="F119">
        <f>Table1[[#This Row],[Vout]]*(Table1[[#This Row],[Imin]]+Table1[[#This Row],[Ripple Current (A)]])</f>
        <v>498.32999999999993</v>
      </c>
      <c r="G119" s="1">
        <f>Table1[[#This Row],[Pout]]/Frequency</f>
        <v>4.9832999999999995E-2</v>
      </c>
      <c r="H119" s="1">
        <f>Table1[[#This Row],[Duty]]/Frequency</f>
        <v>5.6499999999999998E-5</v>
      </c>
      <c r="I119" s="1">
        <f>Table1[[#This Row],[Pout]]/Vin</f>
        <v>16.95</v>
      </c>
      <c r="J119" s="1">
        <f>Vin*Table1[[#This Row],[Idc]]*Table1[[#This Row],[Time On]]</f>
        <v>2.8155644999999993E-2</v>
      </c>
      <c r="K119" s="1">
        <f>Table1[[#This Row],[Energy/Cycle]]-Table1[[#This Row],[Edc]]</f>
        <v>2.1677355000000002E-2</v>
      </c>
      <c r="L119" s="1">
        <f>2*Table1[[#This Row],[E Capacitor]]/(Vin^2-(Vin-V_ripple)^2)</f>
        <v>1.4872970840480288E-3</v>
      </c>
      <c r="M119" s="1">
        <f>Table1[[#This Row],[Energy/Cycle]]-(Table1[[#This Row],[E Capacitor]]+Table1[[#This Row],[Edc]])</f>
        <v>0</v>
      </c>
    </row>
    <row r="120" spans="1:13" x14ac:dyDescent="0.25">
      <c r="A120">
        <v>0.56999999999999995</v>
      </c>
      <c r="B120">
        <f t="shared" si="6"/>
        <v>16.757999999999999</v>
      </c>
      <c r="C120">
        <f t="shared" si="7"/>
        <v>6.0049499999999991</v>
      </c>
      <c r="D120">
        <f>Irms-Table1[[#This Row],[Ripple Current (A)]]</f>
        <v>23.995049999999999</v>
      </c>
      <c r="E120">
        <f>Irms+Table1[[#This Row],[Ripple Current (A)]]</f>
        <v>36.004950000000001</v>
      </c>
      <c r="F120">
        <f>Table1[[#This Row],[Vout]]*(Table1[[#This Row],[Imin]]+Table1[[#This Row],[Ripple Current (A)]])</f>
        <v>502.73999999999995</v>
      </c>
      <c r="G120" s="1">
        <f>Table1[[#This Row],[Pout]]/Frequency</f>
        <v>5.0273999999999992E-2</v>
      </c>
      <c r="H120" s="1">
        <f>Table1[[#This Row],[Duty]]/Frequency</f>
        <v>5.6999999999999996E-5</v>
      </c>
      <c r="I120" s="1">
        <f>Table1[[#This Row],[Pout]]/Vin</f>
        <v>17.099999999999998</v>
      </c>
      <c r="J120" s="1">
        <f>Vin*Table1[[#This Row],[Idc]]*Table1[[#This Row],[Time On]]</f>
        <v>2.8656179999999993E-2</v>
      </c>
      <c r="K120" s="1">
        <f>Table1[[#This Row],[Energy/Cycle]]-Table1[[#This Row],[Edc]]</f>
        <v>2.1617819999999999E-2</v>
      </c>
      <c r="L120" s="1">
        <f>2*Table1[[#This Row],[E Capacitor]]/(Vin^2-(Vin-V_ripple)^2)</f>
        <v>1.4832123499142378E-3</v>
      </c>
      <c r="M120" s="1">
        <f>Table1[[#This Row],[Energy/Cycle]]-(Table1[[#This Row],[E Capacitor]]+Table1[[#This Row],[Edc]])</f>
        <v>0</v>
      </c>
    </row>
    <row r="121" spans="1:13" x14ac:dyDescent="0.25">
      <c r="A121">
        <v>0.57499999999999996</v>
      </c>
      <c r="B121">
        <f t="shared" si="6"/>
        <v>16.904999999999998</v>
      </c>
      <c r="C121">
        <f t="shared" si="7"/>
        <v>5.9871875000000001</v>
      </c>
      <c r="D121">
        <f>Irms-Table1[[#This Row],[Ripple Current (A)]]</f>
        <v>24.012812499999999</v>
      </c>
      <c r="E121">
        <f>Irms+Table1[[#This Row],[Ripple Current (A)]]</f>
        <v>35.987187499999997</v>
      </c>
      <c r="F121">
        <f>Table1[[#This Row],[Vout]]*(Table1[[#This Row],[Imin]]+Table1[[#This Row],[Ripple Current (A)]])</f>
        <v>507.14999999999992</v>
      </c>
      <c r="G121" s="1">
        <f>Table1[[#This Row],[Pout]]/Frequency</f>
        <v>5.0714999999999989E-2</v>
      </c>
      <c r="H121" s="1">
        <f>Table1[[#This Row],[Duty]]/Frequency</f>
        <v>5.7499999999999995E-5</v>
      </c>
      <c r="I121" s="1">
        <f>Table1[[#This Row],[Pout]]/Vin</f>
        <v>17.249999999999996</v>
      </c>
      <c r="J121" s="1">
        <f>Vin*Table1[[#This Row],[Idc]]*Table1[[#This Row],[Time On]]</f>
        <v>2.9161124999999989E-2</v>
      </c>
      <c r="K121" s="1">
        <f>Table1[[#This Row],[Energy/Cycle]]-Table1[[#This Row],[Edc]]</f>
        <v>2.1553875E-2</v>
      </c>
      <c r="L121" s="1">
        <f>2*Table1[[#This Row],[E Capacitor]]/(Vin^2-(Vin-V_ripple)^2)</f>
        <v>1.4788250428816479E-3</v>
      </c>
      <c r="M121" s="1">
        <f>Table1[[#This Row],[Energy/Cycle]]-(Table1[[#This Row],[E Capacitor]]+Table1[[#This Row],[Edc]])</f>
        <v>0</v>
      </c>
    </row>
    <row r="122" spans="1:13" x14ac:dyDescent="0.25">
      <c r="A122">
        <v>0.57999999999999996</v>
      </c>
      <c r="B122">
        <f t="shared" si="6"/>
        <v>17.052</v>
      </c>
      <c r="C122">
        <f t="shared" si="7"/>
        <v>5.9681999999999995</v>
      </c>
      <c r="D122">
        <f>Irms-Table1[[#This Row],[Ripple Current (A)]]</f>
        <v>24.0318</v>
      </c>
      <c r="E122">
        <f>Irms+Table1[[#This Row],[Ripple Current (A)]]</f>
        <v>35.968199999999996</v>
      </c>
      <c r="F122">
        <f>Table1[[#This Row],[Vout]]*(Table1[[#This Row],[Imin]]+Table1[[#This Row],[Ripple Current (A)]])</f>
        <v>511.56</v>
      </c>
      <c r="G122" s="1">
        <f>Table1[[#This Row],[Pout]]/Frequency</f>
        <v>5.1156E-2</v>
      </c>
      <c r="H122" s="1">
        <f>Table1[[#This Row],[Duty]]/Frequency</f>
        <v>5.7999999999999994E-5</v>
      </c>
      <c r="I122" s="1">
        <f>Table1[[#This Row],[Pout]]/Vin</f>
        <v>17.400000000000002</v>
      </c>
      <c r="J122" s="1">
        <f>Vin*Table1[[#This Row],[Idc]]*Table1[[#This Row],[Time On]]</f>
        <v>2.9670479999999999E-2</v>
      </c>
      <c r="K122" s="1">
        <f>Table1[[#This Row],[Energy/Cycle]]-Table1[[#This Row],[Edc]]</f>
        <v>2.1485520000000001E-2</v>
      </c>
      <c r="L122" s="1">
        <f>2*Table1[[#This Row],[E Capacitor]]/(Vin^2-(Vin-V_ripple)^2)</f>
        <v>1.4741351629502584E-3</v>
      </c>
      <c r="M122" s="1">
        <f>Table1[[#This Row],[Energy/Cycle]]-(Table1[[#This Row],[E Capacitor]]+Table1[[#This Row],[Edc]])</f>
        <v>0</v>
      </c>
    </row>
    <row r="123" spans="1:13" x14ac:dyDescent="0.25">
      <c r="A123">
        <v>0.58499999999999996</v>
      </c>
      <c r="B123">
        <f t="shared" si="6"/>
        <v>17.198999999999998</v>
      </c>
      <c r="C123">
        <f t="shared" si="7"/>
        <v>5.9479875</v>
      </c>
      <c r="D123">
        <f>Irms-Table1[[#This Row],[Ripple Current (A)]]</f>
        <v>24.0520125</v>
      </c>
      <c r="E123">
        <f>Irms+Table1[[#This Row],[Ripple Current (A)]]</f>
        <v>35.947987499999996</v>
      </c>
      <c r="F123">
        <f>Table1[[#This Row],[Vout]]*(Table1[[#This Row],[Imin]]+Table1[[#This Row],[Ripple Current (A)]])</f>
        <v>515.96999999999991</v>
      </c>
      <c r="G123" s="1">
        <f>Table1[[#This Row],[Pout]]/Frequency</f>
        <v>5.159699999999999E-2</v>
      </c>
      <c r="H123" s="1">
        <f>Table1[[#This Row],[Duty]]/Frequency</f>
        <v>5.8499999999999999E-5</v>
      </c>
      <c r="I123" s="1">
        <f>Table1[[#This Row],[Pout]]/Vin</f>
        <v>17.549999999999997</v>
      </c>
      <c r="J123" s="1">
        <f>Vin*Table1[[#This Row],[Idc]]*Table1[[#This Row],[Time On]]</f>
        <v>3.0184244999999995E-2</v>
      </c>
      <c r="K123" s="1">
        <f>Table1[[#This Row],[Energy/Cycle]]-Table1[[#This Row],[Edc]]</f>
        <v>2.1412754999999995E-2</v>
      </c>
      <c r="L123" s="1">
        <f>2*Table1[[#This Row],[E Capacitor]]/(Vin^2-(Vin-V_ripple)^2)</f>
        <v>1.4691427101200694E-3</v>
      </c>
      <c r="M123" s="1">
        <f>Table1[[#This Row],[Energy/Cycle]]-(Table1[[#This Row],[E Capacitor]]+Table1[[#This Row],[Edc]])</f>
        <v>0</v>
      </c>
    </row>
    <row r="124" spans="1:13" x14ac:dyDescent="0.25">
      <c r="A124">
        <v>0.59</v>
      </c>
      <c r="B124">
        <f t="shared" si="6"/>
        <v>17.345999999999997</v>
      </c>
      <c r="C124">
        <f t="shared" si="7"/>
        <v>5.9265500000000007</v>
      </c>
      <c r="D124">
        <f>Irms-Table1[[#This Row],[Ripple Current (A)]]</f>
        <v>24.073450000000001</v>
      </c>
      <c r="E124">
        <f>Irms+Table1[[#This Row],[Ripple Current (A)]]</f>
        <v>35.926549999999999</v>
      </c>
      <c r="F124">
        <f>Table1[[#This Row],[Vout]]*(Table1[[#This Row],[Imin]]+Table1[[#This Row],[Ripple Current (A)]])</f>
        <v>520.37999999999988</v>
      </c>
      <c r="G124" s="1">
        <f>Table1[[#This Row],[Pout]]/Frequency</f>
        <v>5.2037999999999987E-2</v>
      </c>
      <c r="H124" s="1">
        <f>Table1[[#This Row],[Duty]]/Frequency</f>
        <v>5.8999999999999998E-5</v>
      </c>
      <c r="I124" s="1">
        <f>Table1[[#This Row],[Pout]]/Vin</f>
        <v>17.699999999999996</v>
      </c>
      <c r="J124" s="1">
        <f>Vin*Table1[[#This Row],[Idc]]*Table1[[#This Row],[Time On]]</f>
        <v>3.0702419999999991E-2</v>
      </c>
      <c r="K124" s="1">
        <f>Table1[[#This Row],[Energy/Cycle]]-Table1[[#This Row],[Edc]]</f>
        <v>2.1335579999999996E-2</v>
      </c>
      <c r="L124" s="1">
        <f>2*Table1[[#This Row],[E Capacitor]]/(Vin^2-(Vin-V_ripple)^2)</f>
        <v>1.4638476843910815E-3</v>
      </c>
      <c r="M124" s="1">
        <f>Table1[[#This Row],[Energy/Cycle]]-(Table1[[#This Row],[E Capacitor]]+Table1[[#This Row],[Edc]])</f>
        <v>0</v>
      </c>
    </row>
    <row r="125" spans="1:13" x14ac:dyDescent="0.25">
      <c r="A125">
        <v>0.59499999999999997</v>
      </c>
      <c r="B125">
        <f t="shared" si="6"/>
        <v>17.492999999999999</v>
      </c>
      <c r="C125">
        <f t="shared" si="7"/>
        <v>5.9038874999999997</v>
      </c>
      <c r="D125">
        <f>Irms-Table1[[#This Row],[Ripple Current (A)]]</f>
        <v>24.0961125</v>
      </c>
      <c r="E125">
        <f>Irms+Table1[[#This Row],[Ripple Current (A)]]</f>
        <v>35.903887499999996</v>
      </c>
      <c r="F125">
        <f>Table1[[#This Row],[Vout]]*(Table1[[#This Row],[Imin]]+Table1[[#This Row],[Ripple Current (A)]])</f>
        <v>524.79</v>
      </c>
      <c r="G125" s="1">
        <f>Table1[[#This Row],[Pout]]/Frequency</f>
        <v>5.2478999999999998E-2</v>
      </c>
      <c r="H125" s="1">
        <f>Table1[[#This Row],[Duty]]/Frequency</f>
        <v>5.9499999999999996E-5</v>
      </c>
      <c r="I125" s="1">
        <f>Table1[[#This Row],[Pout]]/Vin</f>
        <v>17.849999999999998</v>
      </c>
      <c r="J125" s="1">
        <f>Vin*Table1[[#This Row],[Idc]]*Table1[[#This Row],[Time On]]</f>
        <v>3.1225004999999997E-2</v>
      </c>
      <c r="K125" s="1">
        <f>Table1[[#This Row],[Energy/Cycle]]-Table1[[#This Row],[Edc]]</f>
        <v>2.1253995000000001E-2</v>
      </c>
      <c r="L125" s="1">
        <f>2*Table1[[#This Row],[E Capacitor]]/(Vin^2-(Vin-V_ripple)^2)</f>
        <v>1.4582500857632946E-3</v>
      </c>
      <c r="M125" s="1">
        <f>Table1[[#This Row],[Energy/Cycle]]-(Table1[[#This Row],[E Capacitor]]+Table1[[#This Row],[Edc]])</f>
        <v>0</v>
      </c>
    </row>
    <row r="126" spans="1:13" x14ac:dyDescent="0.25">
      <c r="A126">
        <v>0.6</v>
      </c>
      <c r="B126">
        <f t="shared" si="6"/>
        <v>17.639999999999997</v>
      </c>
      <c r="C126">
        <f t="shared" si="7"/>
        <v>5.8800000000000008</v>
      </c>
      <c r="D126">
        <f>Irms-Table1[[#This Row],[Ripple Current (A)]]</f>
        <v>24.119999999999997</v>
      </c>
      <c r="E126">
        <f>Irms+Table1[[#This Row],[Ripple Current (A)]]</f>
        <v>35.880000000000003</v>
      </c>
      <c r="F126">
        <f>Table1[[#This Row],[Vout]]*(Table1[[#This Row],[Imin]]+Table1[[#This Row],[Ripple Current (A)]])</f>
        <v>529.19999999999993</v>
      </c>
      <c r="G126" s="1">
        <f>Table1[[#This Row],[Pout]]/Frequency</f>
        <v>5.2919999999999995E-2</v>
      </c>
      <c r="H126" s="1">
        <f>Table1[[#This Row],[Duty]]/Frequency</f>
        <v>5.9999999999999995E-5</v>
      </c>
      <c r="I126" s="1">
        <f>Table1[[#This Row],[Pout]]/Vin</f>
        <v>18</v>
      </c>
      <c r="J126" s="1">
        <f>Vin*Table1[[#This Row],[Idc]]*Table1[[#This Row],[Time On]]</f>
        <v>3.1751999999999996E-2</v>
      </c>
      <c r="K126" s="1">
        <f>Table1[[#This Row],[Energy/Cycle]]-Table1[[#This Row],[Edc]]</f>
        <v>2.1167999999999999E-2</v>
      </c>
      <c r="L126" s="1">
        <f>2*Table1[[#This Row],[E Capacitor]]/(Vin^2-(Vin-V_ripple)^2)</f>
        <v>1.4523499142367077E-3</v>
      </c>
      <c r="M126" s="1">
        <f>Table1[[#This Row],[Energy/Cycle]]-(Table1[[#This Row],[E Capacitor]]+Table1[[#This Row],[Edc]])</f>
        <v>0</v>
      </c>
    </row>
    <row r="127" spans="1:13" x14ac:dyDescent="0.25">
      <c r="A127">
        <v>0.60499999999999998</v>
      </c>
      <c r="B127">
        <f t="shared" si="6"/>
        <v>17.786999999999999</v>
      </c>
      <c r="C127">
        <f t="shared" si="7"/>
        <v>5.8548875000000002</v>
      </c>
      <c r="D127">
        <f>Irms-Table1[[#This Row],[Ripple Current (A)]]</f>
        <v>24.1451125</v>
      </c>
      <c r="E127">
        <f>Irms+Table1[[#This Row],[Ripple Current (A)]]</f>
        <v>35.854887500000004</v>
      </c>
      <c r="F127">
        <f>Table1[[#This Row],[Vout]]*(Table1[[#This Row],[Imin]]+Table1[[#This Row],[Ripple Current (A)]])</f>
        <v>533.61</v>
      </c>
      <c r="G127" s="1">
        <f>Table1[[#This Row],[Pout]]/Frequency</f>
        <v>5.3360999999999999E-2</v>
      </c>
      <c r="H127" s="1">
        <f>Table1[[#This Row],[Duty]]/Frequency</f>
        <v>6.05E-5</v>
      </c>
      <c r="I127" s="1">
        <f>Table1[[#This Row],[Pout]]/Vin</f>
        <v>18.150000000000002</v>
      </c>
      <c r="J127" s="1">
        <f>Vin*Table1[[#This Row],[Idc]]*Table1[[#This Row],[Time On]]</f>
        <v>3.2283405000000001E-2</v>
      </c>
      <c r="K127" s="1">
        <f>Table1[[#This Row],[Energy/Cycle]]-Table1[[#This Row],[Edc]]</f>
        <v>2.1077594999999998E-2</v>
      </c>
      <c r="L127" s="1">
        <f>2*Table1[[#This Row],[E Capacitor]]/(Vin^2-(Vin-V_ripple)^2)</f>
        <v>1.4461471698113217E-3</v>
      </c>
      <c r="M127" s="1">
        <f>Table1[[#This Row],[Energy/Cycle]]-(Table1[[#This Row],[E Capacitor]]+Table1[[#This Row],[Edc]])</f>
        <v>0</v>
      </c>
    </row>
    <row r="128" spans="1:13" x14ac:dyDescent="0.25">
      <c r="A128">
        <v>0.61</v>
      </c>
      <c r="B128">
        <f t="shared" si="6"/>
        <v>17.933999999999997</v>
      </c>
      <c r="C128">
        <f t="shared" si="7"/>
        <v>5.8285500000000008</v>
      </c>
      <c r="D128">
        <f>Irms-Table1[[#This Row],[Ripple Current (A)]]</f>
        <v>24.17145</v>
      </c>
      <c r="E128">
        <f>Irms+Table1[[#This Row],[Ripple Current (A)]]</f>
        <v>35.82855</v>
      </c>
      <c r="F128">
        <f>Table1[[#This Row],[Vout]]*(Table1[[#This Row],[Imin]]+Table1[[#This Row],[Ripple Current (A)]])</f>
        <v>538.02</v>
      </c>
      <c r="G128" s="1">
        <f>Table1[[#This Row],[Pout]]/Frequency</f>
        <v>5.3801999999999996E-2</v>
      </c>
      <c r="H128" s="1">
        <f>Table1[[#This Row],[Duty]]/Frequency</f>
        <v>6.0999999999999999E-5</v>
      </c>
      <c r="I128" s="1">
        <f>Table1[[#This Row],[Pout]]/Vin</f>
        <v>18.3</v>
      </c>
      <c r="J128" s="1">
        <f>Vin*Table1[[#This Row],[Idc]]*Table1[[#This Row],[Time On]]</f>
        <v>3.2819219999999996E-2</v>
      </c>
      <c r="K128" s="1">
        <f>Table1[[#This Row],[Energy/Cycle]]-Table1[[#This Row],[Edc]]</f>
        <v>2.0982779999999999E-2</v>
      </c>
      <c r="L128" s="1">
        <f>2*Table1[[#This Row],[E Capacitor]]/(Vin^2-(Vin-V_ripple)^2)</f>
        <v>1.4396418524871366E-3</v>
      </c>
      <c r="M128" s="1">
        <f>Table1[[#This Row],[Energy/Cycle]]-(Table1[[#This Row],[E Capacitor]]+Table1[[#This Row],[Edc]])</f>
        <v>0</v>
      </c>
    </row>
    <row r="129" spans="1:13" x14ac:dyDescent="0.25">
      <c r="A129">
        <v>0.61499999999999999</v>
      </c>
      <c r="B129">
        <f t="shared" si="6"/>
        <v>18.081</v>
      </c>
      <c r="C129">
        <f t="shared" si="7"/>
        <v>5.8009874999999997</v>
      </c>
      <c r="D129">
        <f>Irms-Table1[[#This Row],[Ripple Current (A)]]</f>
        <v>24.199012500000002</v>
      </c>
      <c r="E129">
        <f>Irms+Table1[[#This Row],[Ripple Current (A)]]</f>
        <v>35.800987499999998</v>
      </c>
      <c r="F129">
        <f>Table1[[#This Row],[Vout]]*(Table1[[#This Row],[Imin]]+Table1[[#This Row],[Ripple Current (A)]])</f>
        <v>542.42999999999995</v>
      </c>
      <c r="G129" s="1">
        <f>Table1[[#This Row],[Pout]]/Frequency</f>
        <v>5.4242999999999993E-2</v>
      </c>
      <c r="H129" s="1">
        <f>Table1[[#This Row],[Duty]]/Frequency</f>
        <v>6.1500000000000004E-5</v>
      </c>
      <c r="I129" s="1">
        <f>Table1[[#This Row],[Pout]]/Vin</f>
        <v>18.45</v>
      </c>
      <c r="J129" s="1">
        <f>Vin*Table1[[#This Row],[Idc]]*Table1[[#This Row],[Time On]]</f>
        <v>3.3359445000000001E-2</v>
      </c>
      <c r="K129" s="1">
        <f>Table1[[#This Row],[Energy/Cycle]]-Table1[[#This Row],[Edc]]</f>
        <v>2.0883554999999991E-2</v>
      </c>
      <c r="L129" s="1">
        <f>2*Table1[[#This Row],[E Capacitor]]/(Vin^2-(Vin-V_ripple)^2)</f>
        <v>1.4328339622641515E-3</v>
      </c>
      <c r="M129" s="1">
        <f>Table1[[#This Row],[Energy/Cycle]]-(Table1[[#This Row],[E Capacitor]]+Table1[[#This Row],[Edc]])</f>
        <v>0</v>
      </c>
    </row>
    <row r="130" spans="1:13" x14ac:dyDescent="0.25">
      <c r="A130">
        <v>0.62</v>
      </c>
      <c r="B130">
        <f t="shared" si="6"/>
        <v>18.227999999999998</v>
      </c>
      <c r="C130">
        <f t="shared" si="7"/>
        <v>5.7721999999999998</v>
      </c>
      <c r="D130">
        <f>Irms-Table1[[#This Row],[Ripple Current (A)]]</f>
        <v>24.227800000000002</v>
      </c>
      <c r="E130">
        <f>Irms+Table1[[#This Row],[Ripple Current (A)]]</f>
        <v>35.772199999999998</v>
      </c>
      <c r="F130">
        <f>Table1[[#This Row],[Vout]]*(Table1[[#This Row],[Imin]]+Table1[[#This Row],[Ripple Current (A)]])</f>
        <v>546.83999999999992</v>
      </c>
      <c r="G130" s="1">
        <f>Table1[[#This Row],[Pout]]/Frequency</f>
        <v>5.468399999999999E-2</v>
      </c>
      <c r="H130" s="1">
        <f>Table1[[#This Row],[Duty]]/Frequency</f>
        <v>6.2000000000000003E-5</v>
      </c>
      <c r="I130" s="1">
        <f>Table1[[#This Row],[Pout]]/Vin</f>
        <v>18.599999999999998</v>
      </c>
      <c r="J130" s="1">
        <f>Vin*Table1[[#This Row],[Idc]]*Table1[[#This Row],[Time On]]</f>
        <v>3.3904079999999996E-2</v>
      </c>
      <c r="K130" s="1">
        <f>Table1[[#This Row],[Energy/Cycle]]-Table1[[#This Row],[Edc]]</f>
        <v>2.0779919999999993E-2</v>
      </c>
      <c r="L130" s="1">
        <f>2*Table1[[#This Row],[E Capacitor]]/(Vin^2-(Vin-V_ripple)^2)</f>
        <v>1.4257234991423677E-3</v>
      </c>
      <c r="M130" s="1">
        <f>Table1[[#This Row],[Energy/Cycle]]-(Table1[[#This Row],[E Capacitor]]+Table1[[#This Row],[Edc]])</f>
        <v>0</v>
      </c>
    </row>
    <row r="131" spans="1:13" x14ac:dyDescent="0.25">
      <c r="A131">
        <v>0.625</v>
      </c>
      <c r="B131">
        <f t="shared" si="6"/>
        <v>18.375</v>
      </c>
      <c r="C131">
        <f t="shared" si="7"/>
        <v>5.7421874999999991</v>
      </c>
      <c r="D131">
        <f>Irms-Table1[[#This Row],[Ripple Current (A)]]</f>
        <v>24.2578125</v>
      </c>
      <c r="E131">
        <f>Irms+Table1[[#This Row],[Ripple Current (A)]]</f>
        <v>35.7421875</v>
      </c>
      <c r="F131">
        <f>Table1[[#This Row],[Vout]]*(Table1[[#This Row],[Imin]]+Table1[[#This Row],[Ripple Current (A)]])</f>
        <v>551.25</v>
      </c>
      <c r="G131" s="1">
        <f>Table1[[#This Row],[Pout]]/Frequency</f>
        <v>5.5125E-2</v>
      </c>
      <c r="H131" s="1">
        <f>Table1[[#This Row],[Duty]]/Frequency</f>
        <v>6.2500000000000001E-5</v>
      </c>
      <c r="I131" s="1">
        <f>Table1[[#This Row],[Pout]]/Vin</f>
        <v>18.75</v>
      </c>
      <c r="J131" s="1">
        <f>Vin*Table1[[#This Row],[Idc]]*Table1[[#This Row],[Time On]]</f>
        <v>3.4453125000000001E-2</v>
      </c>
      <c r="K131" s="1">
        <f>Table1[[#This Row],[Energy/Cycle]]-Table1[[#This Row],[Edc]]</f>
        <v>2.0671874999999999E-2</v>
      </c>
      <c r="L131" s="1">
        <f>2*Table1[[#This Row],[E Capacitor]]/(Vin^2-(Vin-V_ripple)^2)</f>
        <v>1.4183104631217849E-3</v>
      </c>
      <c r="M131" s="1">
        <f>Table1[[#This Row],[Energy/Cycle]]-(Table1[[#This Row],[E Capacitor]]+Table1[[#This Row],[Edc]])</f>
        <v>0</v>
      </c>
    </row>
    <row r="132" spans="1:13" x14ac:dyDescent="0.25">
      <c r="A132">
        <v>0.63</v>
      </c>
      <c r="B132">
        <f t="shared" si="6"/>
        <v>18.521999999999998</v>
      </c>
      <c r="C132">
        <f t="shared" si="7"/>
        <v>5.7109500000000004</v>
      </c>
      <c r="D132">
        <f>Irms-Table1[[#This Row],[Ripple Current (A)]]</f>
        <v>24.28905</v>
      </c>
      <c r="E132">
        <f>Irms+Table1[[#This Row],[Ripple Current (A)]]</f>
        <v>35.710949999999997</v>
      </c>
      <c r="F132">
        <f>Table1[[#This Row],[Vout]]*(Table1[[#This Row],[Imin]]+Table1[[#This Row],[Ripple Current (A)]])</f>
        <v>555.66</v>
      </c>
      <c r="G132" s="1">
        <f>Table1[[#This Row],[Pout]]/Frequency</f>
        <v>5.5565999999999997E-2</v>
      </c>
      <c r="H132" s="1">
        <f>Table1[[#This Row],[Duty]]/Frequency</f>
        <v>6.3E-5</v>
      </c>
      <c r="I132" s="1">
        <f>Table1[[#This Row],[Pout]]/Vin</f>
        <v>18.899999999999999</v>
      </c>
      <c r="J132" s="1">
        <f>Vin*Table1[[#This Row],[Idc]]*Table1[[#This Row],[Time On]]</f>
        <v>3.5006579999999995E-2</v>
      </c>
      <c r="K132" s="1">
        <f>Table1[[#This Row],[Energy/Cycle]]-Table1[[#This Row],[Edc]]</f>
        <v>2.0559420000000002E-2</v>
      </c>
      <c r="L132" s="1">
        <f>2*Table1[[#This Row],[E Capacitor]]/(Vin^2-(Vin-V_ripple)^2)</f>
        <v>1.4105948542024026E-3</v>
      </c>
      <c r="M132" s="1">
        <f>Table1[[#This Row],[Energy/Cycle]]-(Table1[[#This Row],[E Capacitor]]+Table1[[#This Row],[Edc]])</f>
        <v>0</v>
      </c>
    </row>
    <row r="133" spans="1:13" x14ac:dyDescent="0.25">
      <c r="A133">
        <v>0.63500000000000001</v>
      </c>
      <c r="B133">
        <f t="shared" si="6"/>
        <v>18.669</v>
      </c>
      <c r="C133">
        <f t="shared" si="7"/>
        <v>5.6784874999999992</v>
      </c>
      <c r="D133">
        <f>Irms-Table1[[#This Row],[Ripple Current (A)]]</f>
        <v>24.321512500000001</v>
      </c>
      <c r="E133">
        <f>Irms+Table1[[#This Row],[Ripple Current (A)]]</f>
        <v>35.678487500000003</v>
      </c>
      <c r="F133">
        <f>Table1[[#This Row],[Vout]]*(Table1[[#This Row],[Imin]]+Table1[[#This Row],[Ripple Current (A)]])</f>
        <v>560.07000000000005</v>
      </c>
      <c r="G133" s="1">
        <f>Table1[[#This Row],[Pout]]/Frequency</f>
        <v>5.6007000000000008E-2</v>
      </c>
      <c r="H133" s="1">
        <f>Table1[[#This Row],[Duty]]/Frequency</f>
        <v>6.3499999999999999E-5</v>
      </c>
      <c r="I133" s="1">
        <f>Table1[[#This Row],[Pout]]/Vin</f>
        <v>19.050000000000004</v>
      </c>
      <c r="J133" s="1">
        <f>Vin*Table1[[#This Row],[Idc]]*Table1[[#This Row],[Time On]]</f>
        <v>3.5564445E-2</v>
      </c>
      <c r="K133" s="1">
        <f>Table1[[#This Row],[Energy/Cycle]]-Table1[[#This Row],[Edc]]</f>
        <v>2.0442555000000008E-2</v>
      </c>
      <c r="L133" s="1">
        <f>2*Table1[[#This Row],[E Capacitor]]/(Vin^2-(Vin-V_ripple)^2)</f>
        <v>1.4025766723842212E-3</v>
      </c>
      <c r="M133" s="1">
        <f>Table1[[#This Row],[Energy/Cycle]]-(Table1[[#This Row],[E Capacitor]]+Table1[[#This Row],[Edc]])</f>
        <v>0</v>
      </c>
    </row>
    <row r="134" spans="1:13" x14ac:dyDescent="0.25">
      <c r="A134">
        <v>0.64</v>
      </c>
      <c r="B134">
        <f t="shared" si="6"/>
        <v>18.815999999999999</v>
      </c>
      <c r="C134">
        <f t="shared" si="7"/>
        <v>5.6448</v>
      </c>
      <c r="D134">
        <f>Irms-Table1[[#This Row],[Ripple Current (A)]]</f>
        <v>24.3552</v>
      </c>
      <c r="E134">
        <f>Irms+Table1[[#This Row],[Ripple Current (A)]]</f>
        <v>35.644800000000004</v>
      </c>
      <c r="F134">
        <f>Table1[[#This Row],[Vout]]*(Table1[[#This Row],[Imin]]+Table1[[#This Row],[Ripple Current (A)]])</f>
        <v>564.48</v>
      </c>
      <c r="G134" s="1">
        <f>Table1[[#This Row],[Pout]]/Frequency</f>
        <v>5.6448000000000005E-2</v>
      </c>
      <c r="H134" s="1">
        <f>Table1[[#This Row],[Duty]]/Frequency</f>
        <v>6.3999999999999997E-5</v>
      </c>
      <c r="I134" s="1">
        <f>Table1[[#This Row],[Pout]]/Vin</f>
        <v>19.200000000000003</v>
      </c>
      <c r="J134" s="1">
        <f>Vin*Table1[[#This Row],[Idc]]*Table1[[#This Row],[Time On]]</f>
        <v>3.6126720000000001E-2</v>
      </c>
      <c r="K134" s="1">
        <f>Table1[[#This Row],[Energy/Cycle]]-Table1[[#This Row],[Edc]]</f>
        <v>2.0321280000000004E-2</v>
      </c>
      <c r="L134" s="1">
        <f>2*Table1[[#This Row],[E Capacitor]]/(Vin^2-(Vin-V_ripple)^2)</f>
        <v>1.3942559176672398E-3</v>
      </c>
      <c r="M134" s="1">
        <f>Table1[[#This Row],[Energy/Cycle]]-(Table1[[#This Row],[E Capacitor]]+Table1[[#This Row],[Edc]])</f>
        <v>0</v>
      </c>
    </row>
    <row r="135" spans="1:13" x14ac:dyDescent="0.25">
      <c r="A135">
        <v>0.64500000000000002</v>
      </c>
      <c r="B135">
        <f t="shared" ref="B135:B166" si="8">A135*Vin</f>
        <v>18.963000000000001</v>
      </c>
      <c r="C135">
        <f t="shared" ref="C135:C166" si="9">(Vin-B135)*A135/(Frequency*Inductance)</f>
        <v>5.6098874999999984</v>
      </c>
      <c r="D135">
        <f>Irms-Table1[[#This Row],[Ripple Current (A)]]</f>
        <v>24.390112500000001</v>
      </c>
      <c r="E135">
        <f>Irms+Table1[[#This Row],[Ripple Current (A)]]</f>
        <v>35.609887499999999</v>
      </c>
      <c r="F135">
        <f>Table1[[#This Row],[Vout]]*(Table1[[#This Row],[Imin]]+Table1[[#This Row],[Ripple Current (A)]])</f>
        <v>568.89</v>
      </c>
      <c r="G135" s="1">
        <f>Table1[[#This Row],[Pout]]/Frequency</f>
        <v>5.6889000000000002E-2</v>
      </c>
      <c r="H135" s="1">
        <f>Table1[[#This Row],[Duty]]/Frequency</f>
        <v>6.4499999999999996E-5</v>
      </c>
      <c r="I135" s="1">
        <f>Table1[[#This Row],[Pout]]/Vin</f>
        <v>19.350000000000001</v>
      </c>
      <c r="J135" s="1">
        <f>Vin*Table1[[#This Row],[Idc]]*Table1[[#This Row],[Time On]]</f>
        <v>3.6693404999999998E-2</v>
      </c>
      <c r="K135" s="1">
        <f>Table1[[#This Row],[Energy/Cycle]]-Table1[[#This Row],[Edc]]</f>
        <v>2.0195595000000004E-2</v>
      </c>
      <c r="L135" s="1">
        <f>2*Table1[[#This Row],[E Capacitor]]/(Vin^2-(Vin-V_ripple)^2)</f>
        <v>1.3856325900514592E-3</v>
      </c>
      <c r="M135" s="1">
        <f>Table1[[#This Row],[Energy/Cycle]]-(Table1[[#This Row],[E Capacitor]]+Table1[[#This Row],[Edc]])</f>
        <v>0</v>
      </c>
    </row>
    <row r="136" spans="1:13" x14ac:dyDescent="0.25">
      <c r="A136">
        <v>0.65</v>
      </c>
      <c r="B136">
        <f t="shared" si="8"/>
        <v>19.11</v>
      </c>
      <c r="C136">
        <f t="shared" si="9"/>
        <v>5.5737499999999995</v>
      </c>
      <c r="D136">
        <f>Irms-Table1[[#This Row],[Ripple Current (A)]]</f>
        <v>24.42625</v>
      </c>
      <c r="E136">
        <f>Irms+Table1[[#This Row],[Ripple Current (A)]]</f>
        <v>35.573749999999997</v>
      </c>
      <c r="F136">
        <f>Table1[[#This Row],[Vout]]*(Table1[[#This Row],[Imin]]+Table1[[#This Row],[Ripple Current (A)]])</f>
        <v>573.29999999999995</v>
      </c>
      <c r="G136" s="1">
        <f>Table1[[#This Row],[Pout]]/Frequency</f>
        <v>5.7329999999999992E-2</v>
      </c>
      <c r="H136" s="1">
        <f>Table1[[#This Row],[Duty]]/Frequency</f>
        <v>6.5000000000000008E-5</v>
      </c>
      <c r="I136" s="1">
        <f>Table1[[#This Row],[Pout]]/Vin</f>
        <v>19.5</v>
      </c>
      <c r="J136" s="1">
        <f>Vin*Table1[[#This Row],[Idc]]*Table1[[#This Row],[Time On]]</f>
        <v>3.7264499999999999E-2</v>
      </c>
      <c r="K136" s="1">
        <f>Table1[[#This Row],[Energy/Cycle]]-Table1[[#This Row],[Edc]]</f>
        <v>2.0065499999999993E-2</v>
      </c>
      <c r="L136" s="1">
        <f>2*Table1[[#This Row],[E Capacitor]]/(Vin^2-(Vin-V_ripple)^2)</f>
        <v>1.3767066895368789E-3</v>
      </c>
      <c r="M136" s="1">
        <f>Table1[[#This Row],[Energy/Cycle]]-(Table1[[#This Row],[E Capacitor]]+Table1[[#This Row],[Edc]])</f>
        <v>0</v>
      </c>
    </row>
    <row r="137" spans="1:13" x14ac:dyDescent="0.25">
      <c r="A137">
        <v>0.65500000000000003</v>
      </c>
      <c r="B137">
        <f t="shared" si="8"/>
        <v>19.257000000000001</v>
      </c>
      <c r="C137">
        <f t="shared" si="9"/>
        <v>5.5363874999999991</v>
      </c>
      <c r="D137">
        <f>Irms-Table1[[#This Row],[Ripple Current (A)]]</f>
        <v>24.4636125</v>
      </c>
      <c r="E137">
        <f>Irms+Table1[[#This Row],[Ripple Current (A)]]</f>
        <v>35.536387499999996</v>
      </c>
      <c r="F137">
        <f>Table1[[#This Row],[Vout]]*(Table1[[#This Row],[Imin]]+Table1[[#This Row],[Ripple Current (A)]])</f>
        <v>577.71</v>
      </c>
      <c r="G137" s="1">
        <f>Table1[[#This Row],[Pout]]/Frequency</f>
        <v>5.7771000000000003E-2</v>
      </c>
      <c r="H137" s="1">
        <f>Table1[[#This Row],[Duty]]/Frequency</f>
        <v>6.5500000000000006E-5</v>
      </c>
      <c r="I137" s="1">
        <f>Table1[[#This Row],[Pout]]/Vin</f>
        <v>19.650000000000002</v>
      </c>
      <c r="J137" s="1">
        <f>Vin*Table1[[#This Row],[Idc]]*Table1[[#This Row],[Time On]]</f>
        <v>3.7840005000000003E-2</v>
      </c>
      <c r="K137" s="1">
        <f>Table1[[#This Row],[Energy/Cycle]]-Table1[[#This Row],[Edc]]</f>
        <v>1.9930995E-2</v>
      </c>
      <c r="L137" s="1">
        <f>2*Table1[[#This Row],[E Capacitor]]/(Vin^2-(Vin-V_ripple)^2)</f>
        <v>1.3674782161235003E-3</v>
      </c>
      <c r="M137" s="1">
        <f>Table1[[#This Row],[Energy/Cycle]]-(Table1[[#This Row],[E Capacitor]]+Table1[[#This Row],[Edc]])</f>
        <v>0</v>
      </c>
    </row>
    <row r="138" spans="1:13" x14ac:dyDescent="0.25">
      <c r="A138">
        <v>0.66</v>
      </c>
      <c r="B138">
        <f t="shared" si="8"/>
        <v>19.404</v>
      </c>
      <c r="C138">
        <f t="shared" si="9"/>
        <v>5.4977999999999998</v>
      </c>
      <c r="D138">
        <f>Irms-Table1[[#This Row],[Ripple Current (A)]]</f>
        <v>24.502200000000002</v>
      </c>
      <c r="E138">
        <f>Irms+Table1[[#This Row],[Ripple Current (A)]]</f>
        <v>35.497799999999998</v>
      </c>
      <c r="F138">
        <f>Table1[[#This Row],[Vout]]*(Table1[[#This Row],[Imin]]+Table1[[#This Row],[Ripple Current (A)]])</f>
        <v>582.12</v>
      </c>
      <c r="G138" s="1">
        <f>Table1[[#This Row],[Pout]]/Frequency</f>
        <v>5.8212E-2</v>
      </c>
      <c r="H138" s="1">
        <f>Table1[[#This Row],[Duty]]/Frequency</f>
        <v>6.6000000000000005E-5</v>
      </c>
      <c r="I138" s="1">
        <f>Table1[[#This Row],[Pout]]/Vin</f>
        <v>19.8</v>
      </c>
      <c r="J138" s="1">
        <f>Vin*Table1[[#This Row],[Idc]]*Table1[[#This Row],[Time On]]</f>
        <v>3.8419920000000003E-2</v>
      </c>
      <c r="K138" s="1">
        <f>Table1[[#This Row],[Energy/Cycle]]-Table1[[#This Row],[Edc]]</f>
        <v>1.9792079999999997E-2</v>
      </c>
      <c r="L138" s="1">
        <f>2*Table1[[#This Row],[E Capacitor]]/(Vin^2-(Vin-V_ripple)^2)</f>
        <v>1.3579471698113217E-3</v>
      </c>
      <c r="M138" s="1">
        <f>Table1[[#This Row],[Energy/Cycle]]-(Table1[[#This Row],[E Capacitor]]+Table1[[#This Row],[Edc]])</f>
        <v>0</v>
      </c>
    </row>
    <row r="139" spans="1:13" x14ac:dyDescent="0.25">
      <c r="A139">
        <v>0.66500000000000004</v>
      </c>
      <c r="B139">
        <f t="shared" si="8"/>
        <v>19.550999999999998</v>
      </c>
      <c r="C139">
        <f t="shared" si="9"/>
        <v>5.4579875000000007</v>
      </c>
      <c r="D139">
        <f>Irms-Table1[[#This Row],[Ripple Current (A)]]</f>
        <v>24.542012499999998</v>
      </c>
      <c r="E139">
        <f>Irms+Table1[[#This Row],[Ripple Current (A)]]</f>
        <v>35.457987500000002</v>
      </c>
      <c r="F139">
        <f>Table1[[#This Row],[Vout]]*(Table1[[#This Row],[Imin]]+Table1[[#This Row],[Ripple Current (A)]])</f>
        <v>586.53</v>
      </c>
      <c r="G139" s="1">
        <f>Table1[[#This Row],[Pout]]/Frequency</f>
        <v>5.8652999999999997E-2</v>
      </c>
      <c r="H139" s="1">
        <f>Table1[[#This Row],[Duty]]/Frequency</f>
        <v>6.6500000000000004E-5</v>
      </c>
      <c r="I139" s="1">
        <f>Table1[[#This Row],[Pout]]/Vin</f>
        <v>19.95</v>
      </c>
      <c r="J139" s="1">
        <f>Vin*Table1[[#This Row],[Idc]]*Table1[[#This Row],[Time On]]</f>
        <v>3.9004245E-2</v>
      </c>
      <c r="K139" s="1">
        <f>Table1[[#This Row],[Energy/Cycle]]-Table1[[#This Row],[Edc]]</f>
        <v>1.9648754999999997E-2</v>
      </c>
      <c r="L139" s="1">
        <f>2*Table1[[#This Row],[E Capacitor]]/(Vin^2-(Vin-V_ripple)^2)</f>
        <v>1.3481135506003439E-3</v>
      </c>
      <c r="M139" s="1">
        <f>Table1[[#This Row],[Energy/Cycle]]-(Table1[[#This Row],[E Capacitor]]+Table1[[#This Row],[Edc]])</f>
        <v>0</v>
      </c>
    </row>
    <row r="140" spans="1:13" x14ac:dyDescent="0.25">
      <c r="A140">
        <v>0.67</v>
      </c>
      <c r="B140">
        <f t="shared" si="8"/>
        <v>19.698</v>
      </c>
      <c r="C140">
        <f t="shared" si="9"/>
        <v>5.4169499999999999</v>
      </c>
      <c r="D140">
        <f>Irms-Table1[[#This Row],[Ripple Current (A)]]</f>
        <v>24.58305</v>
      </c>
      <c r="E140">
        <f>Irms+Table1[[#This Row],[Ripple Current (A)]]</f>
        <v>35.41695</v>
      </c>
      <c r="F140">
        <f>Table1[[#This Row],[Vout]]*(Table1[[#This Row],[Imin]]+Table1[[#This Row],[Ripple Current (A)]])</f>
        <v>590.94000000000005</v>
      </c>
      <c r="G140" s="1">
        <f>Table1[[#This Row],[Pout]]/Frequency</f>
        <v>5.9094000000000008E-2</v>
      </c>
      <c r="H140" s="1">
        <f>Table1[[#This Row],[Duty]]/Frequency</f>
        <v>6.7000000000000002E-5</v>
      </c>
      <c r="I140" s="1">
        <f>Table1[[#This Row],[Pout]]/Vin</f>
        <v>20.100000000000001</v>
      </c>
      <c r="J140" s="1">
        <f>Vin*Table1[[#This Row],[Idc]]*Table1[[#This Row],[Time On]]</f>
        <v>3.9592980000000007E-2</v>
      </c>
      <c r="K140" s="1">
        <f>Table1[[#This Row],[Energy/Cycle]]-Table1[[#This Row],[Edc]]</f>
        <v>1.9501020000000001E-2</v>
      </c>
      <c r="L140" s="1">
        <f>2*Table1[[#This Row],[E Capacitor]]/(Vin^2-(Vin-V_ripple)^2)</f>
        <v>1.3379773584905671E-3</v>
      </c>
      <c r="M140" s="1">
        <f>Table1[[#This Row],[Energy/Cycle]]-(Table1[[#This Row],[E Capacitor]]+Table1[[#This Row],[Edc]])</f>
        <v>0</v>
      </c>
    </row>
    <row r="141" spans="1:13" x14ac:dyDescent="0.25">
      <c r="A141">
        <v>0.67500000000000004</v>
      </c>
      <c r="B141">
        <f t="shared" si="8"/>
        <v>19.844999999999999</v>
      </c>
      <c r="C141">
        <f t="shared" si="9"/>
        <v>5.3746875000000003</v>
      </c>
      <c r="D141">
        <f>Irms-Table1[[#This Row],[Ripple Current (A)]]</f>
        <v>24.6253125</v>
      </c>
      <c r="E141">
        <f>Irms+Table1[[#This Row],[Ripple Current (A)]]</f>
        <v>35.3746875</v>
      </c>
      <c r="F141">
        <f>Table1[[#This Row],[Vout]]*(Table1[[#This Row],[Imin]]+Table1[[#This Row],[Ripple Current (A)]])</f>
        <v>595.34999999999991</v>
      </c>
      <c r="G141" s="1">
        <f>Table1[[#This Row],[Pout]]/Frequency</f>
        <v>5.9534999999999991E-2</v>
      </c>
      <c r="H141" s="1">
        <f>Table1[[#This Row],[Duty]]/Frequency</f>
        <v>6.7500000000000001E-5</v>
      </c>
      <c r="I141" s="1">
        <f>Table1[[#This Row],[Pout]]/Vin</f>
        <v>20.249999999999996</v>
      </c>
      <c r="J141" s="1">
        <f>Vin*Table1[[#This Row],[Idc]]*Table1[[#This Row],[Time On]]</f>
        <v>4.0186124999999996E-2</v>
      </c>
      <c r="K141" s="1">
        <f>Table1[[#This Row],[Energy/Cycle]]-Table1[[#This Row],[Edc]]</f>
        <v>1.9348874999999995E-2</v>
      </c>
      <c r="L141" s="1">
        <f>2*Table1[[#This Row],[E Capacitor]]/(Vin^2-(Vin-V_ripple)^2)</f>
        <v>1.3275385934819904E-3</v>
      </c>
      <c r="M141" s="1">
        <f>Table1[[#This Row],[Energy/Cycle]]-(Table1[[#This Row],[E Capacitor]]+Table1[[#This Row],[Edc]])</f>
        <v>0</v>
      </c>
    </row>
    <row r="142" spans="1:13" x14ac:dyDescent="0.25">
      <c r="A142">
        <v>0.68</v>
      </c>
      <c r="B142">
        <f t="shared" si="8"/>
        <v>19.992000000000001</v>
      </c>
      <c r="C142">
        <f t="shared" si="9"/>
        <v>5.3311999999999991</v>
      </c>
      <c r="D142">
        <f>Irms-Table1[[#This Row],[Ripple Current (A)]]</f>
        <v>24.668800000000001</v>
      </c>
      <c r="E142">
        <f>Irms+Table1[[#This Row],[Ripple Current (A)]]</f>
        <v>35.331199999999995</v>
      </c>
      <c r="F142">
        <f>Table1[[#This Row],[Vout]]*(Table1[[#This Row],[Imin]]+Table1[[#This Row],[Ripple Current (A)]])</f>
        <v>599.76</v>
      </c>
      <c r="G142" s="1">
        <f>Table1[[#This Row],[Pout]]/Frequency</f>
        <v>5.9976000000000002E-2</v>
      </c>
      <c r="H142" s="1">
        <f>Table1[[#This Row],[Duty]]/Frequency</f>
        <v>6.7999999999999999E-5</v>
      </c>
      <c r="I142" s="1">
        <f>Table1[[#This Row],[Pout]]/Vin</f>
        <v>20.400000000000002</v>
      </c>
      <c r="J142" s="1">
        <f>Vin*Table1[[#This Row],[Idc]]*Table1[[#This Row],[Time On]]</f>
        <v>4.0783679999999996E-2</v>
      </c>
      <c r="K142" s="1">
        <f>Table1[[#This Row],[Energy/Cycle]]-Table1[[#This Row],[Edc]]</f>
        <v>1.9192320000000006E-2</v>
      </c>
      <c r="L142" s="1">
        <f>2*Table1[[#This Row],[E Capacitor]]/(Vin^2-(Vin-V_ripple)^2)</f>
        <v>1.3167972555746155E-3</v>
      </c>
      <c r="M142" s="1">
        <f>Table1[[#This Row],[Energy/Cycle]]-(Table1[[#This Row],[E Capacitor]]+Table1[[#This Row],[Edc]])</f>
        <v>0</v>
      </c>
    </row>
    <row r="143" spans="1:13" x14ac:dyDescent="0.25">
      <c r="A143">
        <v>0.68500000000000005</v>
      </c>
      <c r="B143">
        <f t="shared" si="8"/>
        <v>20.138999999999999</v>
      </c>
      <c r="C143">
        <f t="shared" si="9"/>
        <v>5.2864874999999998</v>
      </c>
      <c r="D143">
        <f>Irms-Table1[[#This Row],[Ripple Current (A)]]</f>
        <v>24.7135125</v>
      </c>
      <c r="E143">
        <f>Irms+Table1[[#This Row],[Ripple Current (A)]]</f>
        <v>35.2864875</v>
      </c>
      <c r="F143">
        <f>Table1[[#This Row],[Vout]]*(Table1[[#This Row],[Imin]]+Table1[[#This Row],[Ripple Current (A)]])</f>
        <v>604.16999999999996</v>
      </c>
      <c r="G143" s="1">
        <f>Table1[[#This Row],[Pout]]/Frequency</f>
        <v>6.0416999999999998E-2</v>
      </c>
      <c r="H143" s="1">
        <f>Table1[[#This Row],[Duty]]/Frequency</f>
        <v>6.8500000000000012E-5</v>
      </c>
      <c r="I143" s="1">
        <f>Table1[[#This Row],[Pout]]/Vin</f>
        <v>20.55</v>
      </c>
      <c r="J143" s="1">
        <f>Vin*Table1[[#This Row],[Idc]]*Table1[[#This Row],[Time On]]</f>
        <v>4.1385645000000006E-2</v>
      </c>
      <c r="K143" s="1">
        <f>Table1[[#This Row],[Energy/Cycle]]-Table1[[#This Row],[Edc]]</f>
        <v>1.9031354999999993E-2</v>
      </c>
      <c r="L143" s="1">
        <f>2*Table1[[#This Row],[E Capacitor]]/(Vin^2-(Vin-V_ripple)^2)</f>
        <v>1.3057533447684397E-3</v>
      </c>
      <c r="M143" s="1">
        <f>Table1[[#This Row],[Energy/Cycle]]-(Table1[[#This Row],[E Capacitor]]+Table1[[#This Row],[Edc]])</f>
        <v>0</v>
      </c>
    </row>
    <row r="144" spans="1:13" x14ac:dyDescent="0.25">
      <c r="A144">
        <v>0.69</v>
      </c>
      <c r="B144">
        <f t="shared" si="8"/>
        <v>20.285999999999998</v>
      </c>
      <c r="C144">
        <f t="shared" si="9"/>
        <v>5.2405500000000007</v>
      </c>
      <c r="D144">
        <f>Irms-Table1[[#This Row],[Ripple Current (A)]]</f>
        <v>24.759450000000001</v>
      </c>
      <c r="E144">
        <f>Irms+Table1[[#This Row],[Ripple Current (A)]]</f>
        <v>35.240549999999999</v>
      </c>
      <c r="F144">
        <f>Table1[[#This Row],[Vout]]*(Table1[[#This Row],[Imin]]+Table1[[#This Row],[Ripple Current (A)]])</f>
        <v>608.57999999999993</v>
      </c>
      <c r="G144" s="1">
        <f>Table1[[#This Row],[Pout]]/Frequency</f>
        <v>6.0857999999999995E-2</v>
      </c>
      <c r="H144" s="1">
        <f>Table1[[#This Row],[Duty]]/Frequency</f>
        <v>6.8999999999999997E-5</v>
      </c>
      <c r="I144" s="1">
        <f>Table1[[#This Row],[Pout]]/Vin</f>
        <v>20.7</v>
      </c>
      <c r="J144" s="1">
        <f>Vin*Table1[[#This Row],[Idc]]*Table1[[#This Row],[Time On]]</f>
        <v>4.1992019999999991E-2</v>
      </c>
      <c r="K144" s="1">
        <f>Table1[[#This Row],[Energy/Cycle]]-Table1[[#This Row],[Edc]]</f>
        <v>1.8865980000000004E-2</v>
      </c>
      <c r="L144" s="1">
        <f>2*Table1[[#This Row],[E Capacitor]]/(Vin^2-(Vin-V_ripple)^2)</f>
        <v>1.2944068610634661E-3</v>
      </c>
      <c r="M144" s="1">
        <f>Table1[[#This Row],[Energy/Cycle]]-(Table1[[#This Row],[E Capacitor]]+Table1[[#This Row],[Edc]])</f>
        <v>0</v>
      </c>
    </row>
    <row r="145" spans="1:13" x14ac:dyDescent="0.25">
      <c r="A145">
        <v>0.69499999999999995</v>
      </c>
      <c r="B145">
        <f t="shared" si="8"/>
        <v>20.432999999999996</v>
      </c>
      <c r="C145">
        <f t="shared" si="9"/>
        <v>5.1933875000000009</v>
      </c>
      <c r="D145">
        <f>Irms-Table1[[#This Row],[Ripple Current (A)]]</f>
        <v>24.8066125</v>
      </c>
      <c r="E145">
        <f>Irms+Table1[[#This Row],[Ripple Current (A)]]</f>
        <v>35.1933875</v>
      </c>
      <c r="F145">
        <f>Table1[[#This Row],[Vout]]*(Table1[[#This Row],[Imin]]+Table1[[#This Row],[Ripple Current (A)]])</f>
        <v>612.9899999999999</v>
      </c>
      <c r="G145" s="1">
        <f>Table1[[#This Row],[Pout]]/Frequency</f>
        <v>6.1298999999999992E-2</v>
      </c>
      <c r="H145" s="1">
        <f>Table1[[#This Row],[Duty]]/Frequency</f>
        <v>6.9499999999999995E-5</v>
      </c>
      <c r="I145" s="1">
        <f>Table1[[#This Row],[Pout]]/Vin</f>
        <v>20.849999999999998</v>
      </c>
      <c r="J145" s="1">
        <f>Vin*Table1[[#This Row],[Idc]]*Table1[[#This Row],[Time On]]</f>
        <v>4.2602804999999987E-2</v>
      </c>
      <c r="K145" s="1">
        <f>Table1[[#This Row],[Energy/Cycle]]-Table1[[#This Row],[Edc]]</f>
        <v>1.8696195000000006E-2</v>
      </c>
      <c r="L145" s="1">
        <f>2*Table1[[#This Row],[E Capacitor]]/(Vin^2-(Vin-V_ripple)^2)</f>
        <v>1.2827578044596927E-3</v>
      </c>
      <c r="M145" s="1">
        <f>Table1[[#This Row],[Energy/Cycle]]-(Table1[[#This Row],[E Capacitor]]+Table1[[#This Row],[Edc]])</f>
        <v>0</v>
      </c>
    </row>
    <row r="146" spans="1:13" x14ac:dyDescent="0.25">
      <c r="A146">
        <v>0.7</v>
      </c>
      <c r="B146">
        <f t="shared" si="8"/>
        <v>20.58</v>
      </c>
      <c r="C146">
        <f t="shared" si="9"/>
        <v>5.1449999999999996</v>
      </c>
      <c r="D146">
        <f>Irms-Table1[[#This Row],[Ripple Current (A)]]</f>
        <v>24.855</v>
      </c>
      <c r="E146">
        <f>Irms+Table1[[#This Row],[Ripple Current (A)]]</f>
        <v>35.144999999999996</v>
      </c>
      <c r="F146">
        <f>Table1[[#This Row],[Vout]]*(Table1[[#This Row],[Imin]]+Table1[[#This Row],[Ripple Current (A)]])</f>
        <v>617.4</v>
      </c>
      <c r="G146" s="1">
        <f>Table1[[#This Row],[Pout]]/Frequency</f>
        <v>6.1739999999999996E-2</v>
      </c>
      <c r="H146" s="1">
        <f>Table1[[#This Row],[Duty]]/Frequency</f>
        <v>6.9999999999999994E-5</v>
      </c>
      <c r="I146" s="1">
        <f>Table1[[#This Row],[Pout]]/Vin</f>
        <v>21</v>
      </c>
      <c r="J146" s="1">
        <f>Vin*Table1[[#This Row],[Idc]]*Table1[[#This Row],[Time On]]</f>
        <v>4.3217999999999993E-2</v>
      </c>
      <c r="K146" s="1">
        <f>Table1[[#This Row],[Energy/Cycle]]-Table1[[#This Row],[Edc]]</f>
        <v>1.8522000000000004E-2</v>
      </c>
      <c r="L146" s="1">
        <f>2*Table1[[#This Row],[E Capacitor]]/(Vin^2-(Vin-V_ripple)^2)</f>
        <v>1.2708061749571195E-3</v>
      </c>
      <c r="M146" s="1">
        <f>Table1[[#This Row],[Energy/Cycle]]-(Table1[[#This Row],[E Capacitor]]+Table1[[#This Row],[Edc]])</f>
        <v>0</v>
      </c>
    </row>
    <row r="147" spans="1:13" x14ac:dyDescent="0.25">
      <c r="A147">
        <v>0.70499999999999996</v>
      </c>
      <c r="B147">
        <f t="shared" si="8"/>
        <v>20.726999999999997</v>
      </c>
      <c r="C147">
        <f t="shared" si="9"/>
        <v>5.0953875000000011</v>
      </c>
      <c r="D147">
        <f>Irms-Table1[[#This Row],[Ripple Current (A)]]</f>
        <v>24.904612499999999</v>
      </c>
      <c r="E147">
        <f>Irms+Table1[[#This Row],[Ripple Current (A)]]</f>
        <v>35.095387500000001</v>
      </c>
      <c r="F147">
        <f>Table1[[#This Row],[Vout]]*(Table1[[#This Row],[Imin]]+Table1[[#This Row],[Ripple Current (A)]])</f>
        <v>621.80999999999995</v>
      </c>
      <c r="G147" s="1">
        <f>Table1[[#This Row],[Pout]]/Frequency</f>
        <v>6.2180999999999993E-2</v>
      </c>
      <c r="H147" s="1">
        <f>Table1[[#This Row],[Duty]]/Frequency</f>
        <v>7.0499999999999992E-5</v>
      </c>
      <c r="I147" s="1">
        <f>Table1[[#This Row],[Pout]]/Vin</f>
        <v>21.15</v>
      </c>
      <c r="J147" s="1">
        <f>Vin*Table1[[#This Row],[Idc]]*Table1[[#This Row],[Time On]]</f>
        <v>4.3837604999999995E-2</v>
      </c>
      <c r="K147" s="1">
        <f>Table1[[#This Row],[Energy/Cycle]]-Table1[[#This Row],[Edc]]</f>
        <v>1.8343394999999998E-2</v>
      </c>
      <c r="L147" s="1">
        <f>2*Table1[[#This Row],[E Capacitor]]/(Vin^2-(Vin-V_ripple)^2)</f>
        <v>1.258551972555747E-3</v>
      </c>
      <c r="M147" s="1">
        <f>Table1[[#This Row],[Energy/Cycle]]-(Table1[[#This Row],[E Capacitor]]+Table1[[#This Row],[Edc]])</f>
        <v>0</v>
      </c>
    </row>
    <row r="148" spans="1:13" x14ac:dyDescent="0.25">
      <c r="A148">
        <v>0.71</v>
      </c>
      <c r="B148">
        <f t="shared" si="8"/>
        <v>20.873999999999999</v>
      </c>
      <c r="C148">
        <f t="shared" si="9"/>
        <v>5.0445500000000001</v>
      </c>
      <c r="D148">
        <f>Irms-Table1[[#This Row],[Ripple Current (A)]]</f>
        <v>24.955449999999999</v>
      </c>
      <c r="E148">
        <f>Irms+Table1[[#This Row],[Ripple Current (A)]]</f>
        <v>35.044550000000001</v>
      </c>
      <c r="F148">
        <f>Table1[[#This Row],[Vout]]*(Table1[[#This Row],[Imin]]+Table1[[#This Row],[Ripple Current (A)]])</f>
        <v>626.21999999999991</v>
      </c>
      <c r="G148" s="1">
        <f>Table1[[#This Row],[Pout]]/Frequency</f>
        <v>6.2621999999999997E-2</v>
      </c>
      <c r="H148" s="1">
        <f>Table1[[#This Row],[Duty]]/Frequency</f>
        <v>7.0999999999999991E-5</v>
      </c>
      <c r="I148" s="1">
        <f>Table1[[#This Row],[Pout]]/Vin</f>
        <v>21.299999999999997</v>
      </c>
      <c r="J148" s="1">
        <f>Vin*Table1[[#This Row],[Idc]]*Table1[[#This Row],[Time On]]</f>
        <v>4.4461619999999986E-2</v>
      </c>
      <c r="K148" s="1">
        <f>Table1[[#This Row],[Energy/Cycle]]-Table1[[#This Row],[Edc]]</f>
        <v>1.8160380000000011E-2</v>
      </c>
      <c r="L148" s="1">
        <f>2*Table1[[#This Row],[E Capacitor]]/(Vin^2-(Vin-V_ripple)^2)</f>
        <v>1.2459951972555764E-3</v>
      </c>
      <c r="M148" s="1">
        <f>Table1[[#This Row],[Energy/Cycle]]-(Table1[[#This Row],[E Capacitor]]+Table1[[#This Row],[Edc]])</f>
        <v>0</v>
      </c>
    </row>
    <row r="149" spans="1:13" x14ac:dyDescent="0.25">
      <c r="A149">
        <v>0.71499999999999997</v>
      </c>
      <c r="B149">
        <f t="shared" si="8"/>
        <v>21.020999999999997</v>
      </c>
      <c r="C149">
        <f t="shared" si="9"/>
        <v>4.9924875000000011</v>
      </c>
      <c r="D149">
        <f>Irms-Table1[[#This Row],[Ripple Current (A)]]</f>
        <v>25.007512499999997</v>
      </c>
      <c r="E149">
        <f>Irms+Table1[[#This Row],[Ripple Current (A)]]</f>
        <v>34.992487500000003</v>
      </c>
      <c r="F149">
        <f>Table1[[#This Row],[Vout]]*(Table1[[#This Row],[Imin]]+Table1[[#This Row],[Ripple Current (A)]])</f>
        <v>630.62999999999988</v>
      </c>
      <c r="G149" s="1">
        <f>Table1[[#This Row],[Pout]]/Frequency</f>
        <v>6.3062999999999994E-2</v>
      </c>
      <c r="H149" s="1">
        <f>Table1[[#This Row],[Duty]]/Frequency</f>
        <v>7.1500000000000003E-5</v>
      </c>
      <c r="I149" s="1">
        <f>Table1[[#This Row],[Pout]]/Vin</f>
        <v>21.449999999999996</v>
      </c>
      <c r="J149" s="1">
        <f>Vin*Table1[[#This Row],[Idc]]*Table1[[#This Row],[Time On]]</f>
        <v>4.5090044999999995E-2</v>
      </c>
      <c r="K149" s="1">
        <f>Table1[[#This Row],[Energy/Cycle]]-Table1[[#This Row],[Edc]]</f>
        <v>1.7972954999999999E-2</v>
      </c>
      <c r="L149" s="1">
        <f>2*Table1[[#This Row],[E Capacitor]]/(Vin^2-(Vin-V_ripple)^2)</f>
        <v>1.2331358490566048E-3</v>
      </c>
      <c r="M149" s="1">
        <f>Table1[[#This Row],[Energy/Cycle]]-(Table1[[#This Row],[E Capacitor]]+Table1[[#This Row],[Edc]])</f>
        <v>0</v>
      </c>
    </row>
    <row r="150" spans="1:13" x14ac:dyDescent="0.25">
      <c r="A150">
        <v>0.72</v>
      </c>
      <c r="B150">
        <f t="shared" si="8"/>
        <v>21.167999999999999</v>
      </c>
      <c r="C150">
        <f t="shared" si="9"/>
        <v>4.9391999999999996</v>
      </c>
      <c r="D150">
        <f>Irms-Table1[[#This Row],[Ripple Current (A)]]</f>
        <v>25.0608</v>
      </c>
      <c r="E150">
        <f>Irms+Table1[[#This Row],[Ripple Current (A)]]</f>
        <v>34.9392</v>
      </c>
      <c r="F150">
        <f>Table1[[#This Row],[Vout]]*(Table1[[#This Row],[Imin]]+Table1[[#This Row],[Ripple Current (A)]])</f>
        <v>635.04</v>
      </c>
      <c r="G150" s="1">
        <f>Table1[[#This Row],[Pout]]/Frequency</f>
        <v>6.3503999999999991E-2</v>
      </c>
      <c r="H150" s="1">
        <f>Table1[[#This Row],[Duty]]/Frequency</f>
        <v>7.2000000000000002E-5</v>
      </c>
      <c r="I150" s="1">
        <f>Table1[[#This Row],[Pout]]/Vin</f>
        <v>21.6</v>
      </c>
      <c r="J150" s="1">
        <f>Vin*Table1[[#This Row],[Idc]]*Table1[[#This Row],[Time On]]</f>
        <v>4.572288E-2</v>
      </c>
      <c r="K150" s="1">
        <f>Table1[[#This Row],[Energy/Cycle]]-Table1[[#This Row],[Edc]]</f>
        <v>1.7781119999999991E-2</v>
      </c>
      <c r="L150" s="1">
        <f>2*Table1[[#This Row],[E Capacitor]]/(Vin^2-(Vin-V_ripple)^2)</f>
        <v>1.219973927958834E-3</v>
      </c>
      <c r="M150" s="1">
        <f>Table1[[#This Row],[Energy/Cycle]]-(Table1[[#This Row],[E Capacitor]]+Table1[[#This Row],[Edc]])</f>
        <v>0</v>
      </c>
    </row>
    <row r="151" spans="1:13" x14ac:dyDescent="0.25">
      <c r="A151">
        <v>0.72499999999999998</v>
      </c>
      <c r="B151">
        <f t="shared" si="8"/>
        <v>21.314999999999998</v>
      </c>
      <c r="C151">
        <f t="shared" si="9"/>
        <v>4.8846875000000001</v>
      </c>
      <c r="D151">
        <f>Irms-Table1[[#This Row],[Ripple Current (A)]]</f>
        <v>25.115312500000002</v>
      </c>
      <c r="E151">
        <f>Irms+Table1[[#This Row],[Ripple Current (A)]]</f>
        <v>34.884687499999998</v>
      </c>
      <c r="F151">
        <f>Table1[[#This Row],[Vout]]*(Table1[[#This Row],[Imin]]+Table1[[#This Row],[Ripple Current (A)]])</f>
        <v>639.44999999999993</v>
      </c>
      <c r="G151" s="1">
        <f>Table1[[#This Row],[Pout]]/Frequency</f>
        <v>6.3944999999999988E-2</v>
      </c>
      <c r="H151" s="1">
        <f>Table1[[#This Row],[Duty]]/Frequency</f>
        <v>7.25E-5</v>
      </c>
      <c r="I151" s="1">
        <f>Table1[[#This Row],[Pout]]/Vin</f>
        <v>21.75</v>
      </c>
      <c r="J151" s="1">
        <f>Vin*Table1[[#This Row],[Idc]]*Table1[[#This Row],[Time On]]</f>
        <v>4.6360124999999995E-2</v>
      </c>
      <c r="K151" s="1">
        <f>Table1[[#This Row],[Energy/Cycle]]-Table1[[#This Row],[Edc]]</f>
        <v>1.7584874999999993E-2</v>
      </c>
      <c r="L151" s="1">
        <f>2*Table1[[#This Row],[E Capacitor]]/(Vin^2-(Vin-V_ripple)^2)</f>
        <v>1.2065094339622647E-3</v>
      </c>
      <c r="M151" s="1">
        <f>Table1[[#This Row],[Energy/Cycle]]-(Table1[[#This Row],[E Capacitor]]+Table1[[#This Row],[Edc]])</f>
        <v>0</v>
      </c>
    </row>
    <row r="152" spans="1:13" x14ac:dyDescent="0.25">
      <c r="A152">
        <v>0.73</v>
      </c>
      <c r="B152">
        <f t="shared" si="8"/>
        <v>21.462</v>
      </c>
      <c r="C152">
        <f t="shared" si="9"/>
        <v>4.8289499999999999</v>
      </c>
      <c r="D152">
        <f>Irms-Table1[[#This Row],[Ripple Current (A)]]</f>
        <v>25.171050000000001</v>
      </c>
      <c r="E152">
        <f>Irms+Table1[[#This Row],[Ripple Current (A)]]</f>
        <v>34.828949999999999</v>
      </c>
      <c r="F152">
        <f>Table1[[#This Row],[Vout]]*(Table1[[#This Row],[Imin]]+Table1[[#This Row],[Ripple Current (A)]])</f>
        <v>643.86</v>
      </c>
      <c r="G152" s="1">
        <f>Table1[[#This Row],[Pout]]/Frequency</f>
        <v>6.4385999999999999E-2</v>
      </c>
      <c r="H152" s="1">
        <f>Table1[[#This Row],[Duty]]/Frequency</f>
        <v>7.2999999999999999E-5</v>
      </c>
      <c r="I152" s="1">
        <f>Table1[[#This Row],[Pout]]/Vin</f>
        <v>21.900000000000002</v>
      </c>
      <c r="J152" s="1">
        <f>Vin*Table1[[#This Row],[Idc]]*Table1[[#This Row],[Time On]]</f>
        <v>4.700178E-2</v>
      </c>
      <c r="K152" s="1">
        <f>Table1[[#This Row],[Energy/Cycle]]-Table1[[#This Row],[Edc]]</f>
        <v>1.7384219999999999E-2</v>
      </c>
      <c r="L152" s="1">
        <f>2*Table1[[#This Row],[E Capacitor]]/(Vin^2-(Vin-V_ripple)^2)</f>
        <v>1.1927423670668963E-3</v>
      </c>
      <c r="M152" s="1">
        <f>Table1[[#This Row],[Energy/Cycle]]-(Table1[[#This Row],[E Capacitor]]+Table1[[#This Row],[Edc]])</f>
        <v>0</v>
      </c>
    </row>
    <row r="153" spans="1:13" x14ac:dyDescent="0.25">
      <c r="A153">
        <v>0.73499999999999999</v>
      </c>
      <c r="B153">
        <f t="shared" si="8"/>
        <v>21.608999999999998</v>
      </c>
      <c r="C153">
        <f t="shared" si="9"/>
        <v>4.7719875000000007</v>
      </c>
      <c r="D153">
        <f>Irms-Table1[[#This Row],[Ripple Current (A)]]</f>
        <v>25.228012499999998</v>
      </c>
      <c r="E153">
        <f>Irms+Table1[[#This Row],[Ripple Current (A)]]</f>
        <v>34.771987500000002</v>
      </c>
      <c r="F153">
        <f>Table1[[#This Row],[Vout]]*(Table1[[#This Row],[Imin]]+Table1[[#This Row],[Ripple Current (A)]])</f>
        <v>648.27</v>
      </c>
      <c r="G153" s="1">
        <f>Table1[[#This Row],[Pout]]/Frequency</f>
        <v>6.4826999999999996E-2</v>
      </c>
      <c r="H153" s="1">
        <f>Table1[[#This Row],[Duty]]/Frequency</f>
        <v>7.3499999999999998E-5</v>
      </c>
      <c r="I153" s="1">
        <f>Table1[[#This Row],[Pout]]/Vin</f>
        <v>22.05</v>
      </c>
      <c r="J153" s="1">
        <f>Vin*Table1[[#This Row],[Idc]]*Table1[[#This Row],[Time On]]</f>
        <v>4.7647844999999994E-2</v>
      </c>
      <c r="K153" s="1">
        <f>Table1[[#This Row],[Energy/Cycle]]-Table1[[#This Row],[Edc]]</f>
        <v>1.7179155000000002E-2</v>
      </c>
      <c r="L153" s="1">
        <f>2*Table1[[#This Row],[E Capacitor]]/(Vin^2-(Vin-V_ripple)^2)</f>
        <v>1.1786727272727283E-3</v>
      </c>
      <c r="M153" s="1">
        <f>Table1[[#This Row],[Energy/Cycle]]-(Table1[[#This Row],[E Capacitor]]+Table1[[#This Row],[Edc]])</f>
        <v>0</v>
      </c>
    </row>
    <row r="154" spans="1:13" x14ac:dyDescent="0.25">
      <c r="A154">
        <v>0.74</v>
      </c>
      <c r="B154">
        <f t="shared" si="8"/>
        <v>21.756</v>
      </c>
      <c r="C154">
        <f t="shared" si="9"/>
        <v>4.7137999999999991</v>
      </c>
      <c r="D154">
        <f>Irms-Table1[[#This Row],[Ripple Current (A)]]</f>
        <v>25.286200000000001</v>
      </c>
      <c r="E154">
        <f>Irms+Table1[[#This Row],[Ripple Current (A)]]</f>
        <v>34.713799999999999</v>
      </c>
      <c r="F154">
        <f>Table1[[#This Row],[Vout]]*(Table1[[#This Row],[Imin]]+Table1[[#This Row],[Ripple Current (A)]])</f>
        <v>652.68000000000006</v>
      </c>
      <c r="G154" s="1">
        <f>Table1[[#This Row],[Pout]]/Frequency</f>
        <v>6.5268000000000007E-2</v>
      </c>
      <c r="H154" s="1">
        <f>Table1[[#This Row],[Duty]]/Frequency</f>
        <v>7.3999999999999996E-5</v>
      </c>
      <c r="I154" s="1">
        <f>Table1[[#This Row],[Pout]]/Vin</f>
        <v>22.200000000000003</v>
      </c>
      <c r="J154" s="1">
        <f>Vin*Table1[[#This Row],[Idc]]*Table1[[#This Row],[Time On]]</f>
        <v>4.8298320000000006E-2</v>
      </c>
      <c r="K154" s="1">
        <f>Table1[[#This Row],[Energy/Cycle]]-Table1[[#This Row],[Edc]]</f>
        <v>1.6969680000000001E-2</v>
      </c>
      <c r="L154" s="1">
        <f>2*Table1[[#This Row],[E Capacitor]]/(Vin^2-(Vin-V_ripple)^2)</f>
        <v>1.1643005145797608E-3</v>
      </c>
      <c r="M154" s="1">
        <f>Table1[[#This Row],[Energy/Cycle]]-(Table1[[#This Row],[E Capacitor]]+Table1[[#This Row],[Edc]])</f>
        <v>0</v>
      </c>
    </row>
    <row r="155" spans="1:13" x14ac:dyDescent="0.25">
      <c r="A155">
        <v>0.745</v>
      </c>
      <c r="B155">
        <f t="shared" si="8"/>
        <v>21.902999999999999</v>
      </c>
      <c r="C155">
        <f t="shared" si="9"/>
        <v>4.6543875000000003</v>
      </c>
      <c r="D155">
        <f>Irms-Table1[[#This Row],[Ripple Current (A)]]</f>
        <v>25.345612500000001</v>
      </c>
      <c r="E155">
        <f>Irms+Table1[[#This Row],[Ripple Current (A)]]</f>
        <v>34.654387499999999</v>
      </c>
      <c r="F155">
        <f>Table1[[#This Row],[Vout]]*(Table1[[#This Row],[Imin]]+Table1[[#This Row],[Ripple Current (A)]])</f>
        <v>657.08999999999992</v>
      </c>
      <c r="G155" s="1">
        <f>Table1[[#This Row],[Pout]]/Frequency</f>
        <v>6.570899999999999E-2</v>
      </c>
      <c r="H155" s="1">
        <f>Table1[[#This Row],[Duty]]/Frequency</f>
        <v>7.4499999999999995E-5</v>
      </c>
      <c r="I155" s="1">
        <f>Table1[[#This Row],[Pout]]/Vin</f>
        <v>22.349999999999998</v>
      </c>
      <c r="J155" s="1">
        <f>Vin*Table1[[#This Row],[Idc]]*Table1[[#This Row],[Time On]]</f>
        <v>4.8953204999999993E-2</v>
      </c>
      <c r="K155" s="1">
        <f>Table1[[#This Row],[Energy/Cycle]]-Table1[[#This Row],[Edc]]</f>
        <v>1.6755794999999997E-2</v>
      </c>
      <c r="L155" s="1">
        <f>2*Table1[[#This Row],[E Capacitor]]/(Vin^2-(Vin-V_ripple)^2)</f>
        <v>1.1496257289879939E-3</v>
      </c>
      <c r="M155" s="1">
        <f>Table1[[#This Row],[Energy/Cycle]]-(Table1[[#This Row],[E Capacitor]]+Table1[[#This Row],[Edc]])</f>
        <v>0</v>
      </c>
    </row>
    <row r="156" spans="1:13" x14ac:dyDescent="0.25">
      <c r="A156">
        <v>0.75</v>
      </c>
      <c r="B156">
        <f t="shared" si="8"/>
        <v>22.049999999999997</v>
      </c>
      <c r="C156">
        <f t="shared" si="9"/>
        <v>4.5937500000000009</v>
      </c>
      <c r="D156">
        <f>Irms-Table1[[#This Row],[Ripple Current (A)]]</f>
        <v>25.40625</v>
      </c>
      <c r="E156">
        <f>Irms+Table1[[#This Row],[Ripple Current (A)]]</f>
        <v>34.59375</v>
      </c>
      <c r="F156">
        <f>Table1[[#This Row],[Vout]]*(Table1[[#This Row],[Imin]]+Table1[[#This Row],[Ripple Current (A)]])</f>
        <v>661.49999999999989</v>
      </c>
      <c r="G156" s="1">
        <f>Table1[[#This Row],[Pout]]/Frequency</f>
        <v>6.6149999999999987E-2</v>
      </c>
      <c r="H156" s="1">
        <f>Table1[[#This Row],[Duty]]/Frequency</f>
        <v>7.4999999999999993E-5</v>
      </c>
      <c r="I156" s="1">
        <f>Table1[[#This Row],[Pout]]/Vin</f>
        <v>22.499999999999996</v>
      </c>
      <c r="J156" s="1">
        <f>Vin*Table1[[#This Row],[Idc]]*Table1[[#This Row],[Time On]]</f>
        <v>4.961249999999999E-2</v>
      </c>
      <c r="K156" s="1">
        <f>Table1[[#This Row],[Energy/Cycle]]-Table1[[#This Row],[Edc]]</f>
        <v>1.6537499999999997E-2</v>
      </c>
      <c r="L156" s="1">
        <f>2*Table1[[#This Row],[E Capacitor]]/(Vin^2-(Vin-V_ripple)^2)</f>
        <v>1.1346483704974277E-3</v>
      </c>
      <c r="M156" s="1">
        <f>Table1[[#This Row],[Energy/Cycle]]-(Table1[[#This Row],[E Capacitor]]+Table1[[#This Row],[Edc]])</f>
        <v>0</v>
      </c>
    </row>
    <row r="157" spans="1:13" x14ac:dyDescent="0.25">
      <c r="A157">
        <v>0.755</v>
      </c>
      <c r="B157">
        <f t="shared" si="8"/>
        <v>22.196999999999999</v>
      </c>
      <c r="C157">
        <f t="shared" si="9"/>
        <v>4.5318874999999998</v>
      </c>
      <c r="D157">
        <f>Irms-Table1[[#This Row],[Ripple Current (A)]]</f>
        <v>25.4681125</v>
      </c>
      <c r="E157">
        <f>Irms+Table1[[#This Row],[Ripple Current (A)]]</f>
        <v>34.531887499999996</v>
      </c>
      <c r="F157">
        <f>Table1[[#This Row],[Vout]]*(Table1[[#This Row],[Imin]]+Table1[[#This Row],[Ripple Current (A)]])</f>
        <v>665.91</v>
      </c>
      <c r="G157" s="1">
        <f>Table1[[#This Row],[Pout]]/Frequency</f>
        <v>6.6590999999999997E-2</v>
      </c>
      <c r="H157" s="1">
        <f>Table1[[#This Row],[Duty]]/Frequency</f>
        <v>7.5500000000000006E-5</v>
      </c>
      <c r="I157" s="1">
        <f>Table1[[#This Row],[Pout]]/Vin</f>
        <v>22.65</v>
      </c>
      <c r="J157" s="1">
        <f>Vin*Table1[[#This Row],[Idc]]*Table1[[#This Row],[Time On]]</f>
        <v>5.0276205000000004E-2</v>
      </c>
      <c r="K157" s="1">
        <f>Table1[[#This Row],[Energy/Cycle]]-Table1[[#This Row],[Edc]]</f>
        <v>1.6314794999999993E-2</v>
      </c>
      <c r="L157" s="1">
        <f>2*Table1[[#This Row],[E Capacitor]]/(Vin^2-(Vin-V_ripple)^2)</f>
        <v>1.1193684391080621E-3</v>
      </c>
      <c r="M157" s="1">
        <f>Table1[[#This Row],[Energy/Cycle]]-(Table1[[#This Row],[E Capacitor]]+Table1[[#This Row],[Edc]])</f>
        <v>0</v>
      </c>
    </row>
    <row r="158" spans="1:13" x14ac:dyDescent="0.25">
      <c r="A158">
        <v>0.76</v>
      </c>
      <c r="B158">
        <f t="shared" si="8"/>
        <v>22.343999999999998</v>
      </c>
      <c r="C158">
        <f t="shared" si="9"/>
        <v>4.4688000000000008</v>
      </c>
      <c r="D158">
        <f>Irms-Table1[[#This Row],[Ripple Current (A)]]</f>
        <v>25.531199999999998</v>
      </c>
      <c r="E158">
        <f>Irms+Table1[[#This Row],[Ripple Current (A)]]</f>
        <v>34.468800000000002</v>
      </c>
      <c r="F158">
        <f>Table1[[#This Row],[Vout]]*(Table1[[#This Row],[Imin]]+Table1[[#This Row],[Ripple Current (A)]])</f>
        <v>670.31999999999994</v>
      </c>
      <c r="G158" s="1">
        <f>Table1[[#This Row],[Pout]]/Frequency</f>
        <v>6.7031999999999994E-2</v>
      </c>
      <c r="H158" s="1">
        <f>Table1[[#This Row],[Duty]]/Frequency</f>
        <v>7.6000000000000004E-5</v>
      </c>
      <c r="I158" s="1">
        <f>Table1[[#This Row],[Pout]]/Vin</f>
        <v>22.8</v>
      </c>
      <c r="J158" s="1">
        <f>Vin*Table1[[#This Row],[Idc]]*Table1[[#This Row],[Time On]]</f>
        <v>5.0944320000000001E-2</v>
      </c>
      <c r="K158" s="1">
        <f>Table1[[#This Row],[Energy/Cycle]]-Table1[[#This Row],[Edc]]</f>
        <v>1.6087679999999993E-2</v>
      </c>
      <c r="L158" s="1">
        <f>2*Table1[[#This Row],[E Capacitor]]/(Vin^2-(Vin-V_ripple)^2)</f>
        <v>1.1037859348198974E-3</v>
      </c>
      <c r="M158" s="1">
        <f>Table1[[#This Row],[Energy/Cycle]]-(Table1[[#This Row],[E Capacitor]]+Table1[[#This Row],[Edc]])</f>
        <v>0</v>
      </c>
    </row>
    <row r="159" spans="1:13" x14ac:dyDescent="0.25">
      <c r="A159">
        <v>0.76500000000000001</v>
      </c>
      <c r="B159">
        <f t="shared" si="8"/>
        <v>22.491</v>
      </c>
      <c r="C159">
        <f t="shared" si="9"/>
        <v>4.4044874999999992</v>
      </c>
      <c r="D159">
        <f>Irms-Table1[[#This Row],[Ripple Current (A)]]</f>
        <v>25.595512500000002</v>
      </c>
      <c r="E159">
        <f>Irms+Table1[[#This Row],[Ripple Current (A)]]</f>
        <v>34.404487500000002</v>
      </c>
      <c r="F159">
        <f>Table1[[#This Row],[Vout]]*(Table1[[#This Row],[Imin]]+Table1[[#This Row],[Ripple Current (A)]])</f>
        <v>674.73</v>
      </c>
      <c r="G159" s="1">
        <f>Table1[[#This Row],[Pout]]/Frequency</f>
        <v>6.7473000000000005E-2</v>
      </c>
      <c r="H159" s="1">
        <f>Table1[[#This Row],[Duty]]/Frequency</f>
        <v>7.6500000000000003E-5</v>
      </c>
      <c r="I159" s="1">
        <f>Table1[[#This Row],[Pout]]/Vin</f>
        <v>22.950000000000003</v>
      </c>
      <c r="J159" s="1">
        <f>Vin*Table1[[#This Row],[Idc]]*Table1[[#This Row],[Time On]]</f>
        <v>5.1616845000000001E-2</v>
      </c>
      <c r="K159" s="1">
        <f>Table1[[#This Row],[Energy/Cycle]]-Table1[[#This Row],[Edc]]</f>
        <v>1.5856155000000004E-2</v>
      </c>
      <c r="L159" s="1">
        <f>2*Table1[[#This Row],[E Capacitor]]/(Vin^2-(Vin-V_ripple)^2)</f>
        <v>1.0879008576329342E-3</v>
      </c>
      <c r="M159" s="1">
        <f>Table1[[#This Row],[Energy/Cycle]]-(Table1[[#This Row],[E Capacitor]]+Table1[[#This Row],[Edc]])</f>
        <v>0</v>
      </c>
    </row>
    <row r="160" spans="1:13" x14ac:dyDescent="0.25">
      <c r="A160">
        <v>0.77</v>
      </c>
      <c r="B160">
        <f t="shared" si="8"/>
        <v>22.637999999999998</v>
      </c>
      <c r="C160">
        <f t="shared" si="9"/>
        <v>4.3389500000000005</v>
      </c>
      <c r="D160">
        <f>Irms-Table1[[#This Row],[Ripple Current (A)]]</f>
        <v>25.661049999999999</v>
      </c>
      <c r="E160">
        <f>Irms+Table1[[#This Row],[Ripple Current (A)]]</f>
        <v>34.338949999999997</v>
      </c>
      <c r="F160">
        <f>Table1[[#This Row],[Vout]]*(Table1[[#This Row],[Imin]]+Table1[[#This Row],[Ripple Current (A)]])</f>
        <v>679.14</v>
      </c>
      <c r="G160" s="1">
        <f>Table1[[#This Row],[Pout]]/Frequency</f>
        <v>6.7914000000000002E-2</v>
      </c>
      <c r="H160" s="1">
        <f>Table1[[#This Row],[Duty]]/Frequency</f>
        <v>7.7000000000000001E-5</v>
      </c>
      <c r="I160" s="1">
        <f>Table1[[#This Row],[Pout]]/Vin</f>
        <v>23.1</v>
      </c>
      <c r="J160" s="1">
        <f>Vin*Table1[[#This Row],[Idc]]*Table1[[#This Row],[Time On]]</f>
        <v>5.2293779999999998E-2</v>
      </c>
      <c r="K160" s="1">
        <f>Table1[[#This Row],[Energy/Cycle]]-Table1[[#This Row],[Edc]]</f>
        <v>1.5620220000000004E-2</v>
      </c>
      <c r="L160" s="1">
        <f>2*Table1[[#This Row],[E Capacitor]]/(Vin^2-(Vin-V_ripple)^2)</f>
        <v>1.071713207547171E-3</v>
      </c>
      <c r="M160" s="1">
        <f>Table1[[#This Row],[Energy/Cycle]]-(Table1[[#This Row],[E Capacitor]]+Table1[[#This Row],[Edc]])</f>
        <v>0</v>
      </c>
    </row>
    <row r="161" spans="1:13" x14ac:dyDescent="0.25">
      <c r="A161">
        <v>0.77500000000000002</v>
      </c>
      <c r="B161">
        <f t="shared" si="8"/>
        <v>22.785</v>
      </c>
      <c r="C161">
        <f t="shared" si="9"/>
        <v>4.2721874999999994</v>
      </c>
      <c r="D161">
        <f>Irms-Table1[[#This Row],[Ripple Current (A)]]</f>
        <v>25.727812499999999</v>
      </c>
      <c r="E161">
        <f>Irms+Table1[[#This Row],[Ripple Current (A)]]</f>
        <v>34.272187500000001</v>
      </c>
      <c r="F161">
        <f>Table1[[#This Row],[Vout]]*(Table1[[#This Row],[Imin]]+Table1[[#This Row],[Ripple Current (A)]])</f>
        <v>683.55</v>
      </c>
      <c r="G161" s="1">
        <f>Table1[[#This Row],[Pout]]/Frequency</f>
        <v>6.8354999999999999E-2</v>
      </c>
      <c r="H161" s="1">
        <f>Table1[[#This Row],[Duty]]/Frequency</f>
        <v>7.75E-5</v>
      </c>
      <c r="I161" s="1">
        <f>Table1[[#This Row],[Pout]]/Vin</f>
        <v>23.25</v>
      </c>
      <c r="J161" s="1">
        <f>Vin*Table1[[#This Row],[Idc]]*Table1[[#This Row],[Time On]]</f>
        <v>5.2975124999999998E-2</v>
      </c>
      <c r="K161" s="1">
        <f>Table1[[#This Row],[Energy/Cycle]]-Table1[[#This Row],[Edc]]</f>
        <v>1.5379875000000001E-2</v>
      </c>
      <c r="L161" s="1">
        <f>2*Table1[[#This Row],[E Capacitor]]/(Vin^2-(Vin-V_ripple)^2)</f>
        <v>1.0552229845626081E-3</v>
      </c>
      <c r="M161" s="1">
        <f>Table1[[#This Row],[Energy/Cycle]]-(Table1[[#This Row],[E Capacitor]]+Table1[[#This Row],[Edc]])</f>
        <v>0</v>
      </c>
    </row>
    <row r="162" spans="1:13" x14ac:dyDescent="0.25">
      <c r="A162">
        <v>0.78</v>
      </c>
      <c r="B162">
        <f t="shared" si="8"/>
        <v>22.931999999999999</v>
      </c>
      <c r="C162">
        <f t="shared" si="9"/>
        <v>4.2042000000000002</v>
      </c>
      <c r="D162">
        <f>Irms-Table1[[#This Row],[Ripple Current (A)]]</f>
        <v>25.7958</v>
      </c>
      <c r="E162">
        <f>Irms+Table1[[#This Row],[Ripple Current (A)]]</f>
        <v>34.2042</v>
      </c>
      <c r="F162">
        <f>Table1[[#This Row],[Vout]]*(Table1[[#This Row],[Imin]]+Table1[[#This Row],[Ripple Current (A)]])</f>
        <v>687.95999999999992</v>
      </c>
      <c r="G162" s="1">
        <f>Table1[[#This Row],[Pout]]/Frequency</f>
        <v>6.8795999999999996E-2</v>
      </c>
      <c r="H162" s="1">
        <f>Table1[[#This Row],[Duty]]/Frequency</f>
        <v>7.7999999999999999E-5</v>
      </c>
      <c r="I162" s="1">
        <f>Table1[[#This Row],[Pout]]/Vin</f>
        <v>23.4</v>
      </c>
      <c r="J162" s="1">
        <f>Vin*Table1[[#This Row],[Idc]]*Table1[[#This Row],[Time On]]</f>
        <v>5.3660879999999994E-2</v>
      </c>
      <c r="K162" s="1">
        <f>Table1[[#This Row],[Energy/Cycle]]-Table1[[#This Row],[Edc]]</f>
        <v>1.5135120000000002E-2</v>
      </c>
      <c r="L162" s="1">
        <f>2*Table1[[#This Row],[E Capacitor]]/(Vin^2-(Vin-V_ripple)^2)</f>
        <v>1.0384301886792462E-3</v>
      </c>
      <c r="M162" s="1">
        <f>Table1[[#This Row],[Energy/Cycle]]-(Table1[[#This Row],[E Capacitor]]+Table1[[#This Row],[Edc]])</f>
        <v>0</v>
      </c>
    </row>
    <row r="163" spans="1:13" x14ac:dyDescent="0.25">
      <c r="A163">
        <v>0.78500000000000003</v>
      </c>
      <c r="B163">
        <f t="shared" si="8"/>
        <v>23.079000000000001</v>
      </c>
      <c r="C163">
        <f t="shared" si="9"/>
        <v>4.1349874999999994</v>
      </c>
      <c r="D163">
        <f>Irms-Table1[[#This Row],[Ripple Current (A)]]</f>
        <v>25.865012499999999</v>
      </c>
      <c r="E163">
        <f>Irms+Table1[[#This Row],[Ripple Current (A)]]</f>
        <v>34.134987500000001</v>
      </c>
      <c r="F163">
        <f>Table1[[#This Row],[Vout]]*(Table1[[#This Row],[Imin]]+Table1[[#This Row],[Ripple Current (A)]])</f>
        <v>692.37</v>
      </c>
      <c r="G163" s="1">
        <f>Table1[[#This Row],[Pout]]/Frequency</f>
        <v>6.9237000000000007E-2</v>
      </c>
      <c r="H163" s="1">
        <f>Table1[[#This Row],[Duty]]/Frequency</f>
        <v>7.8499999999999997E-5</v>
      </c>
      <c r="I163" s="1">
        <f>Table1[[#This Row],[Pout]]/Vin</f>
        <v>23.55</v>
      </c>
      <c r="J163" s="1">
        <f>Vin*Table1[[#This Row],[Idc]]*Table1[[#This Row],[Time On]]</f>
        <v>5.4351045000000001E-2</v>
      </c>
      <c r="K163" s="1">
        <f>Table1[[#This Row],[Energy/Cycle]]-Table1[[#This Row],[Edc]]</f>
        <v>1.4885955000000006E-2</v>
      </c>
      <c r="L163" s="1">
        <f>2*Table1[[#This Row],[E Capacitor]]/(Vin^2-(Vin-V_ripple)^2)</f>
        <v>1.0213348198970854E-3</v>
      </c>
      <c r="M163" s="1">
        <f>Table1[[#This Row],[Energy/Cycle]]-(Table1[[#This Row],[E Capacitor]]+Table1[[#This Row],[Edc]])</f>
        <v>0</v>
      </c>
    </row>
    <row r="164" spans="1:13" x14ac:dyDescent="0.25">
      <c r="A164">
        <v>0.79</v>
      </c>
      <c r="B164">
        <f t="shared" si="8"/>
        <v>23.225999999999999</v>
      </c>
      <c r="C164">
        <f t="shared" si="9"/>
        <v>4.0645500000000006</v>
      </c>
      <c r="D164">
        <f>Irms-Table1[[#This Row],[Ripple Current (A)]]</f>
        <v>25.935449999999999</v>
      </c>
      <c r="E164">
        <f>Irms+Table1[[#This Row],[Ripple Current (A)]]</f>
        <v>34.064549999999997</v>
      </c>
      <c r="F164">
        <f>Table1[[#This Row],[Vout]]*(Table1[[#This Row],[Imin]]+Table1[[#This Row],[Ripple Current (A)]])</f>
        <v>696.78</v>
      </c>
      <c r="G164" s="1">
        <f>Table1[[#This Row],[Pout]]/Frequency</f>
        <v>6.9678000000000004E-2</v>
      </c>
      <c r="H164" s="1">
        <f>Table1[[#This Row],[Duty]]/Frequency</f>
        <v>7.9000000000000009E-5</v>
      </c>
      <c r="I164" s="1">
        <f>Table1[[#This Row],[Pout]]/Vin</f>
        <v>23.7</v>
      </c>
      <c r="J164" s="1">
        <f>Vin*Table1[[#This Row],[Idc]]*Table1[[#This Row],[Time On]]</f>
        <v>5.5045620000000003E-2</v>
      </c>
      <c r="K164" s="1">
        <f>Table1[[#This Row],[Energy/Cycle]]-Table1[[#This Row],[Edc]]</f>
        <v>1.463238E-2</v>
      </c>
      <c r="L164" s="1">
        <f>2*Table1[[#This Row],[E Capacitor]]/(Vin^2-(Vin-V_ripple)^2)</f>
        <v>1.0039368782161244E-3</v>
      </c>
      <c r="M164" s="1">
        <f>Table1[[#This Row],[Energy/Cycle]]-(Table1[[#This Row],[E Capacitor]]+Table1[[#This Row],[Edc]])</f>
        <v>0</v>
      </c>
    </row>
    <row r="165" spans="1:13" x14ac:dyDescent="0.25">
      <c r="A165">
        <v>0.79500000000000004</v>
      </c>
      <c r="B165">
        <f t="shared" si="8"/>
        <v>23.373000000000001</v>
      </c>
      <c r="C165">
        <f t="shared" si="9"/>
        <v>3.9928874999999984</v>
      </c>
      <c r="D165">
        <f>Irms-Table1[[#This Row],[Ripple Current (A)]]</f>
        <v>26.007112500000002</v>
      </c>
      <c r="E165">
        <f>Irms+Table1[[#This Row],[Ripple Current (A)]]</f>
        <v>33.992887499999995</v>
      </c>
      <c r="F165">
        <f>Table1[[#This Row],[Vout]]*(Table1[[#This Row],[Imin]]+Table1[[#This Row],[Ripple Current (A)]])</f>
        <v>701.19</v>
      </c>
      <c r="G165" s="1">
        <f>Table1[[#This Row],[Pout]]/Frequency</f>
        <v>7.0119000000000001E-2</v>
      </c>
      <c r="H165" s="1">
        <f>Table1[[#This Row],[Duty]]/Frequency</f>
        <v>7.9500000000000008E-5</v>
      </c>
      <c r="I165" s="1">
        <f>Table1[[#This Row],[Pout]]/Vin</f>
        <v>23.85</v>
      </c>
      <c r="J165" s="1">
        <f>Vin*Table1[[#This Row],[Idc]]*Table1[[#This Row],[Time On]]</f>
        <v>5.574460500000001E-2</v>
      </c>
      <c r="K165" s="1">
        <f>Table1[[#This Row],[Energy/Cycle]]-Table1[[#This Row],[Edc]]</f>
        <v>1.4374394999999991E-2</v>
      </c>
      <c r="L165" s="1">
        <f>2*Table1[[#This Row],[E Capacitor]]/(Vin^2-(Vin-V_ripple)^2)</f>
        <v>9.8623636363636379E-4</v>
      </c>
      <c r="M165" s="1">
        <f>Table1[[#This Row],[Energy/Cycle]]-(Table1[[#This Row],[E Capacitor]]+Table1[[#This Row],[Edc]])</f>
        <v>0</v>
      </c>
    </row>
    <row r="166" spans="1:13" x14ac:dyDescent="0.25">
      <c r="A166">
        <v>0.8</v>
      </c>
      <c r="B166">
        <f t="shared" si="8"/>
        <v>23.52</v>
      </c>
      <c r="C166">
        <f t="shared" si="9"/>
        <v>3.92</v>
      </c>
      <c r="D166">
        <f>Irms-Table1[[#This Row],[Ripple Current (A)]]</f>
        <v>26.08</v>
      </c>
      <c r="E166">
        <f>Irms+Table1[[#This Row],[Ripple Current (A)]]</f>
        <v>33.92</v>
      </c>
      <c r="F166">
        <f>Table1[[#This Row],[Vout]]*(Table1[[#This Row],[Imin]]+Table1[[#This Row],[Ripple Current (A)]])</f>
        <v>705.6</v>
      </c>
      <c r="G166" s="1">
        <f>Table1[[#This Row],[Pout]]/Frequency</f>
        <v>7.0559999999999998E-2</v>
      </c>
      <c r="H166" s="1">
        <f>Table1[[#This Row],[Duty]]/Frequency</f>
        <v>8.0000000000000007E-5</v>
      </c>
      <c r="I166" s="1">
        <f>Table1[[#This Row],[Pout]]/Vin</f>
        <v>24.000000000000004</v>
      </c>
      <c r="J166" s="1">
        <f>Vin*Table1[[#This Row],[Idc]]*Table1[[#This Row],[Time On]]</f>
        <v>5.6448000000000005E-2</v>
      </c>
      <c r="K166" s="1">
        <f>Table1[[#This Row],[Energy/Cycle]]-Table1[[#This Row],[Edc]]</f>
        <v>1.4111999999999993E-2</v>
      </c>
      <c r="L166" s="1">
        <f>2*Table1[[#This Row],[E Capacitor]]/(Vin^2-(Vin-V_ripple)^2)</f>
        <v>9.6823327615780472E-4</v>
      </c>
      <c r="M166" s="1">
        <f>Table1[[#This Row],[Energy/Cycle]]-(Table1[[#This Row],[E Capacitor]]+Table1[[#This Row],[Edc]])</f>
        <v>0</v>
      </c>
    </row>
    <row r="167" spans="1:13" x14ac:dyDescent="0.25">
      <c r="A167">
        <v>0.80500000000000005</v>
      </c>
      <c r="B167">
        <f t="shared" ref="B167:B198" si="10">A167*Vin</f>
        <v>23.667000000000002</v>
      </c>
      <c r="C167">
        <f t="shared" ref="C167:C198" si="11">(Vin-B167)*A167/(Frequency*Inductance)</f>
        <v>3.8458874999999981</v>
      </c>
      <c r="D167">
        <f>Irms-Table1[[#This Row],[Ripple Current (A)]]</f>
        <v>26.154112500000004</v>
      </c>
      <c r="E167">
        <f>Irms+Table1[[#This Row],[Ripple Current (A)]]</f>
        <v>33.845887499999996</v>
      </c>
      <c r="F167">
        <f>Table1[[#This Row],[Vout]]*(Table1[[#This Row],[Imin]]+Table1[[#This Row],[Ripple Current (A)]])</f>
        <v>710.01</v>
      </c>
      <c r="G167" s="1">
        <f>Table1[[#This Row],[Pout]]/Frequency</f>
        <v>7.1000999999999995E-2</v>
      </c>
      <c r="H167" s="1">
        <f>Table1[[#This Row],[Duty]]/Frequency</f>
        <v>8.0500000000000005E-5</v>
      </c>
      <c r="I167" s="1">
        <f>Table1[[#This Row],[Pout]]/Vin</f>
        <v>24.150000000000002</v>
      </c>
      <c r="J167" s="1">
        <f>Vin*Table1[[#This Row],[Idc]]*Table1[[#This Row],[Time On]]</f>
        <v>5.7155805000000004E-2</v>
      </c>
      <c r="K167" s="1">
        <f>Table1[[#This Row],[Energy/Cycle]]-Table1[[#This Row],[Edc]]</f>
        <v>1.3845194999999991E-2</v>
      </c>
      <c r="L167" s="1">
        <f>2*Table1[[#This Row],[E Capacitor]]/(Vin^2-(Vin-V_ripple)^2)</f>
        <v>9.499276157804461E-4</v>
      </c>
      <c r="M167" s="1">
        <f>Table1[[#This Row],[Energy/Cycle]]-(Table1[[#This Row],[E Capacitor]]+Table1[[#This Row],[Edc]])</f>
        <v>0</v>
      </c>
    </row>
    <row r="168" spans="1:13" x14ac:dyDescent="0.25">
      <c r="A168">
        <v>0.81</v>
      </c>
      <c r="B168">
        <f t="shared" si="10"/>
        <v>23.814</v>
      </c>
      <c r="C168">
        <f t="shared" si="11"/>
        <v>3.7705499999999992</v>
      </c>
      <c r="D168">
        <f>Irms-Table1[[#This Row],[Ripple Current (A)]]</f>
        <v>26.22945</v>
      </c>
      <c r="E168">
        <f>Irms+Table1[[#This Row],[Ripple Current (A)]]</f>
        <v>33.77055</v>
      </c>
      <c r="F168">
        <f>Table1[[#This Row],[Vout]]*(Table1[[#This Row],[Imin]]+Table1[[#This Row],[Ripple Current (A)]])</f>
        <v>714.42</v>
      </c>
      <c r="G168" s="1">
        <f>Table1[[#This Row],[Pout]]/Frequency</f>
        <v>7.1441999999999992E-2</v>
      </c>
      <c r="H168" s="1">
        <f>Table1[[#This Row],[Duty]]/Frequency</f>
        <v>8.1000000000000004E-5</v>
      </c>
      <c r="I168" s="1">
        <f>Table1[[#This Row],[Pout]]/Vin</f>
        <v>24.3</v>
      </c>
      <c r="J168" s="1">
        <f>Vin*Table1[[#This Row],[Idc]]*Table1[[#This Row],[Time On]]</f>
        <v>5.7868019999999999E-2</v>
      </c>
      <c r="K168" s="1">
        <f>Table1[[#This Row],[Energy/Cycle]]-Table1[[#This Row],[Edc]]</f>
        <v>1.3573979999999992E-2</v>
      </c>
      <c r="L168" s="1">
        <f>2*Table1[[#This Row],[E Capacitor]]/(Vin^2-(Vin-V_ripple)^2)</f>
        <v>9.3131938250428834E-4</v>
      </c>
      <c r="M168" s="1">
        <f>Table1[[#This Row],[Energy/Cycle]]-(Table1[[#This Row],[E Capacitor]]+Table1[[#This Row],[Edc]])</f>
        <v>0</v>
      </c>
    </row>
    <row r="169" spans="1:13" x14ac:dyDescent="0.25">
      <c r="A169">
        <v>0.81499999999999995</v>
      </c>
      <c r="B169">
        <f t="shared" si="10"/>
        <v>23.960999999999999</v>
      </c>
      <c r="C169">
        <f t="shared" si="11"/>
        <v>3.6939875</v>
      </c>
      <c r="D169">
        <f>Irms-Table1[[#This Row],[Ripple Current (A)]]</f>
        <v>26.306012500000001</v>
      </c>
      <c r="E169">
        <f>Irms+Table1[[#This Row],[Ripple Current (A)]]</f>
        <v>33.693987499999999</v>
      </c>
      <c r="F169">
        <f>Table1[[#This Row],[Vout]]*(Table1[[#This Row],[Imin]]+Table1[[#This Row],[Ripple Current (A)]])</f>
        <v>718.82999999999993</v>
      </c>
      <c r="G169" s="1">
        <f>Table1[[#This Row],[Pout]]/Frequency</f>
        <v>7.1882999999999989E-2</v>
      </c>
      <c r="H169" s="1">
        <f>Table1[[#This Row],[Duty]]/Frequency</f>
        <v>8.1499999999999989E-5</v>
      </c>
      <c r="I169" s="1">
        <f>Table1[[#This Row],[Pout]]/Vin</f>
        <v>24.45</v>
      </c>
      <c r="J169" s="1">
        <f>Vin*Table1[[#This Row],[Idc]]*Table1[[#This Row],[Time On]]</f>
        <v>5.8584644999999984E-2</v>
      </c>
      <c r="K169" s="1">
        <f>Table1[[#This Row],[Energy/Cycle]]-Table1[[#This Row],[Edc]]</f>
        <v>1.3298355000000005E-2</v>
      </c>
      <c r="L169" s="1">
        <f>2*Table1[[#This Row],[E Capacitor]]/(Vin^2-(Vin-V_ripple)^2)</f>
        <v>9.124085763293321E-4</v>
      </c>
      <c r="M169" s="1">
        <f>Table1[[#This Row],[Energy/Cycle]]-(Table1[[#This Row],[E Capacitor]]+Table1[[#This Row],[Edc]])</f>
        <v>0</v>
      </c>
    </row>
    <row r="170" spans="1:13" x14ac:dyDescent="0.25">
      <c r="A170">
        <v>0.82</v>
      </c>
      <c r="B170">
        <f t="shared" si="10"/>
        <v>24.107999999999997</v>
      </c>
      <c r="C170">
        <f t="shared" si="11"/>
        <v>3.6162000000000005</v>
      </c>
      <c r="D170">
        <f>Irms-Table1[[#This Row],[Ripple Current (A)]]</f>
        <v>26.383800000000001</v>
      </c>
      <c r="E170">
        <f>Irms+Table1[[#This Row],[Ripple Current (A)]]</f>
        <v>33.616199999999999</v>
      </c>
      <c r="F170">
        <f>Table1[[#This Row],[Vout]]*(Table1[[#This Row],[Imin]]+Table1[[#This Row],[Ripple Current (A)]])</f>
        <v>723.2399999999999</v>
      </c>
      <c r="G170" s="1">
        <f>Table1[[#This Row],[Pout]]/Frequency</f>
        <v>7.2323999999999986E-2</v>
      </c>
      <c r="H170" s="1">
        <f>Table1[[#This Row],[Duty]]/Frequency</f>
        <v>8.2000000000000001E-5</v>
      </c>
      <c r="I170" s="1">
        <f>Table1[[#This Row],[Pout]]/Vin</f>
        <v>24.599999999999998</v>
      </c>
      <c r="J170" s="1">
        <f>Vin*Table1[[#This Row],[Idc]]*Table1[[#This Row],[Time On]]</f>
        <v>5.9305679999999993E-2</v>
      </c>
      <c r="K170" s="1">
        <f>Table1[[#This Row],[Energy/Cycle]]-Table1[[#This Row],[Edc]]</f>
        <v>1.3018319999999993E-2</v>
      </c>
      <c r="L170" s="1">
        <f>2*Table1[[#This Row],[E Capacitor]]/(Vin^2-(Vin-V_ripple)^2)</f>
        <v>8.9319519725557478E-4</v>
      </c>
      <c r="M170" s="1">
        <f>Table1[[#This Row],[Energy/Cycle]]-(Table1[[#This Row],[E Capacitor]]+Table1[[#This Row],[Edc]])</f>
        <v>0</v>
      </c>
    </row>
    <row r="171" spans="1:13" x14ac:dyDescent="0.25">
      <c r="A171">
        <v>0.82499999999999996</v>
      </c>
      <c r="B171">
        <f t="shared" si="10"/>
        <v>24.254999999999999</v>
      </c>
      <c r="C171">
        <f t="shared" si="11"/>
        <v>3.5371874999999995</v>
      </c>
      <c r="D171">
        <f>Irms-Table1[[#This Row],[Ripple Current (A)]]</f>
        <v>26.462812500000002</v>
      </c>
      <c r="E171">
        <f>Irms+Table1[[#This Row],[Ripple Current (A)]]</f>
        <v>33.537187500000002</v>
      </c>
      <c r="F171">
        <f>Table1[[#This Row],[Vout]]*(Table1[[#This Row],[Imin]]+Table1[[#This Row],[Ripple Current (A)]])</f>
        <v>727.65</v>
      </c>
      <c r="G171" s="1">
        <f>Table1[[#This Row],[Pout]]/Frequency</f>
        <v>7.2764999999999996E-2</v>
      </c>
      <c r="H171" s="1">
        <f>Table1[[#This Row],[Duty]]/Frequency</f>
        <v>8.25E-5</v>
      </c>
      <c r="I171" s="1">
        <f>Table1[[#This Row],[Pout]]/Vin</f>
        <v>24.75</v>
      </c>
      <c r="J171" s="1">
        <f>Vin*Table1[[#This Row],[Idc]]*Table1[[#This Row],[Time On]]</f>
        <v>6.0031124999999998E-2</v>
      </c>
      <c r="K171" s="1">
        <f>Table1[[#This Row],[Energy/Cycle]]-Table1[[#This Row],[Edc]]</f>
        <v>1.2733874999999999E-2</v>
      </c>
      <c r="L171" s="1">
        <f>2*Table1[[#This Row],[E Capacitor]]/(Vin^2-(Vin-V_ripple)^2)</f>
        <v>8.7367924528301941E-4</v>
      </c>
      <c r="M171" s="1">
        <f>Table1[[#This Row],[Energy/Cycle]]-(Table1[[#This Row],[E Capacitor]]+Table1[[#This Row],[Edc]])</f>
        <v>0</v>
      </c>
    </row>
    <row r="172" spans="1:13" x14ac:dyDescent="0.25">
      <c r="A172">
        <v>0.83</v>
      </c>
      <c r="B172">
        <f t="shared" si="10"/>
        <v>24.401999999999997</v>
      </c>
      <c r="C172">
        <f t="shared" si="11"/>
        <v>3.4569500000000009</v>
      </c>
      <c r="D172">
        <f>Irms-Table1[[#This Row],[Ripple Current (A)]]</f>
        <v>26.543050000000001</v>
      </c>
      <c r="E172">
        <f>Irms+Table1[[#This Row],[Ripple Current (A)]]</f>
        <v>33.456949999999999</v>
      </c>
      <c r="F172">
        <f>Table1[[#This Row],[Vout]]*(Table1[[#This Row],[Imin]]+Table1[[#This Row],[Ripple Current (A)]])</f>
        <v>732.06</v>
      </c>
      <c r="G172" s="1">
        <f>Table1[[#This Row],[Pout]]/Frequency</f>
        <v>7.3205999999999993E-2</v>
      </c>
      <c r="H172" s="1">
        <f>Table1[[#This Row],[Duty]]/Frequency</f>
        <v>8.2999999999999998E-5</v>
      </c>
      <c r="I172" s="1">
        <f>Table1[[#This Row],[Pout]]/Vin</f>
        <v>24.9</v>
      </c>
      <c r="J172" s="1">
        <f>Vin*Table1[[#This Row],[Idc]]*Table1[[#This Row],[Time On]]</f>
        <v>6.0760979999999992E-2</v>
      </c>
      <c r="K172" s="1">
        <f>Table1[[#This Row],[Energy/Cycle]]-Table1[[#This Row],[Edc]]</f>
        <v>1.2445020000000001E-2</v>
      </c>
      <c r="L172" s="1">
        <f>2*Table1[[#This Row],[E Capacitor]]/(Vin^2-(Vin-V_ripple)^2)</f>
        <v>8.5386072041166458E-4</v>
      </c>
      <c r="M172" s="1">
        <f>Table1[[#This Row],[Energy/Cycle]]-(Table1[[#This Row],[E Capacitor]]+Table1[[#This Row],[Edc]])</f>
        <v>0</v>
      </c>
    </row>
    <row r="173" spans="1:13" x14ac:dyDescent="0.25">
      <c r="A173">
        <v>0.83499999999999996</v>
      </c>
      <c r="B173">
        <f t="shared" si="10"/>
        <v>24.548999999999999</v>
      </c>
      <c r="C173">
        <f t="shared" si="11"/>
        <v>3.3754874999999993</v>
      </c>
      <c r="D173">
        <f>Irms-Table1[[#This Row],[Ripple Current (A)]]</f>
        <v>26.624512500000002</v>
      </c>
      <c r="E173">
        <f>Irms+Table1[[#This Row],[Ripple Current (A)]]</f>
        <v>33.375487499999998</v>
      </c>
      <c r="F173">
        <f>Table1[[#This Row],[Vout]]*(Table1[[#This Row],[Imin]]+Table1[[#This Row],[Ripple Current (A)]])</f>
        <v>736.47</v>
      </c>
      <c r="G173" s="1">
        <f>Table1[[#This Row],[Pout]]/Frequency</f>
        <v>7.3647000000000004E-2</v>
      </c>
      <c r="H173" s="1">
        <f>Table1[[#This Row],[Duty]]/Frequency</f>
        <v>8.3499999999999997E-5</v>
      </c>
      <c r="I173" s="1">
        <f>Table1[[#This Row],[Pout]]/Vin</f>
        <v>25.05</v>
      </c>
      <c r="J173" s="1">
        <f>Vin*Table1[[#This Row],[Idc]]*Table1[[#This Row],[Time On]]</f>
        <v>6.1495244999999997E-2</v>
      </c>
      <c r="K173" s="1">
        <f>Table1[[#This Row],[Energy/Cycle]]-Table1[[#This Row],[Edc]]</f>
        <v>1.2151755000000007E-2</v>
      </c>
      <c r="L173" s="1">
        <f>2*Table1[[#This Row],[E Capacitor]]/(Vin^2-(Vin-V_ripple)^2)</f>
        <v>8.3373962264151062E-4</v>
      </c>
      <c r="M173" s="1">
        <f>Table1[[#This Row],[Energy/Cycle]]-(Table1[[#This Row],[E Capacitor]]+Table1[[#This Row],[Edc]])</f>
        <v>0</v>
      </c>
    </row>
    <row r="174" spans="1:13" x14ac:dyDescent="0.25">
      <c r="A174">
        <v>0.84</v>
      </c>
      <c r="B174">
        <f t="shared" si="10"/>
        <v>24.695999999999998</v>
      </c>
      <c r="C174">
        <f t="shared" si="11"/>
        <v>3.2928000000000002</v>
      </c>
      <c r="D174">
        <f>Irms-Table1[[#This Row],[Ripple Current (A)]]</f>
        <v>26.7072</v>
      </c>
      <c r="E174">
        <f>Irms+Table1[[#This Row],[Ripple Current (A)]]</f>
        <v>33.2928</v>
      </c>
      <c r="F174">
        <f>Table1[[#This Row],[Vout]]*(Table1[[#This Row],[Imin]]+Table1[[#This Row],[Ripple Current (A)]])</f>
        <v>740.87999999999988</v>
      </c>
      <c r="G174" s="1">
        <f>Table1[[#This Row],[Pout]]/Frequency</f>
        <v>7.4087999999999987E-2</v>
      </c>
      <c r="H174" s="1">
        <f>Table1[[#This Row],[Duty]]/Frequency</f>
        <v>8.3999999999999995E-5</v>
      </c>
      <c r="I174" s="1">
        <f>Table1[[#This Row],[Pout]]/Vin</f>
        <v>25.199999999999996</v>
      </c>
      <c r="J174" s="1">
        <f>Vin*Table1[[#This Row],[Idc]]*Table1[[#This Row],[Time On]]</f>
        <v>6.2233919999999984E-2</v>
      </c>
      <c r="K174" s="1">
        <f>Table1[[#This Row],[Energy/Cycle]]-Table1[[#This Row],[Edc]]</f>
        <v>1.1854080000000003E-2</v>
      </c>
      <c r="L174" s="1">
        <f>2*Table1[[#This Row],[E Capacitor]]/(Vin^2-(Vin-V_ripple)^2)</f>
        <v>8.1331595197255656E-4</v>
      </c>
      <c r="M174" s="1">
        <f>Table1[[#This Row],[Energy/Cycle]]-(Table1[[#This Row],[E Capacitor]]+Table1[[#This Row],[Edc]])</f>
        <v>0</v>
      </c>
    </row>
    <row r="175" spans="1:13" x14ac:dyDescent="0.25">
      <c r="A175">
        <v>0.84499999999999997</v>
      </c>
      <c r="B175">
        <f t="shared" si="10"/>
        <v>24.842999999999996</v>
      </c>
      <c r="C175">
        <f t="shared" si="11"/>
        <v>3.2088875000000012</v>
      </c>
      <c r="D175">
        <f>Irms-Table1[[#This Row],[Ripple Current (A)]]</f>
        <v>26.791112499999997</v>
      </c>
      <c r="E175">
        <f>Irms+Table1[[#This Row],[Ripple Current (A)]]</f>
        <v>33.208887500000003</v>
      </c>
      <c r="F175">
        <f>Table1[[#This Row],[Vout]]*(Table1[[#This Row],[Imin]]+Table1[[#This Row],[Ripple Current (A)]])</f>
        <v>745.28999999999985</v>
      </c>
      <c r="G175" s="1">
        <f>Table1[[#This Row],[Pout]]/Frequency</f>
        <v>7.4528999999999984E-2</v>
      </c>
      <c r="H175" s="1">
        <f>Table1[[#This Row],[Duty]]/Frequency</f>
        <v>8.4499999999999994E-5</v>
      </c>
      <c r="I175" s="1">
        <f>Table1[[#This Row],[Pout]]/Vin</f>
        <v>25.349999999999998</v>
      </c>
      <c r="J175" s="1">
        <f>Vin*Table1[[#This Row],[Idc]]*Table1[[#This Row],[Time On]]</f>
        <v>6.2977004999999989E-2</v>
      </c>
      <c r="K175" s="1">
        <f>Table1[[#This Row],[Energy/Cycle]]-Table1[[#This Row],[Edc]]</f>
        <v>1.1551994999999995E-2</v>
      </c>
      <c r="L175" s="1">
        <f>2*Table1[[#This Row],[E Capacitor]]/(Vin^2-(Vin-V_ripple)^2)</f>
        <v>7.9258970840480304E-4</v>
      </c>
      <c r="M175" s="1">
        <f>Table1[[#This Row],[Energy/Cycle]]-(Table1[[#This Row],[E Capacitor]]+Table1[[#This Row],[Edc]])</f>
        <v>0</v>
      </c>
    </row>
    <row r="176" spans="1:13" x14ac:dyDescent="0.25">
      <c r="A176">
        <v>0.85</v>
      </c>
      <c r="B176">
        <f t="shared" si="10"/>
        <v>24.99</v>
      </c>
      <c r="C176">
        <f t="shared" si="11"/>
        <v>3.1237500000000002</v>
      </c>
      <c r="D176">
        <f>Irms-Table1[[#This Row],[Ripple Current (A)]]</f>
        <v>26.876249999999999</v>
      </c>
      <c r="E176">
        <f>Irms+Table1[[#This Row],[Ripple Current (A)]]</f>
        <v>33.123750000000001</v>
      </c>
      <c r="F176">
        <f>Table1[[#This Row],[Vout]]*(Table1[[#This Row],[Imin]]+Table1[[#This Row],[Ripple Current (A)]])</f>
        <v>749.69999999999993</v>
      </c>
      <c r="G176" s="1">
        <f>Table1[[#This Row],[Pout]]/Frequency</f>
        <v>7.4969999999999995E-2</v>
      </c>
      <c r="H176" s="1">
        <f>Table1[[#This Row],[Duty]]/Frequency</f>
        <v>8.4999999999999993E-5</v>
      </c>
      <c r="I176" s="1">
        <f>Table1[[#This Row],[Pout]]/Vin</f>
        <v>25.5</v>
      </c>
      <c r="J176" s="1">
        <f>Vin*Table1[[#This Row],[Idc]]*Table1[[#This Row],[Time On]]</f>
        <v>6.3724499999999989E-2</v>
      </c>
      <c r="K176" s="1">
        <f>Table1[[#This Row],[Energy/Cycle]]-Table1[[#This Row],[Edc]]</f>
        <v>1.1245500000000005E-2</v>
      </c>
      <c r="L176" s="1">
        <f>2*Table1[[#This Row],[E Capacitor]]/(Vin^2-(Vin-V_ripple)^2)</f>
        <v>7.7156089193825136E-4</v>
      </c>
      <c r="M176" s="1">
        <f>Table1[[#This Row],[Energy/Cycle]]-(Table1[[#This Row],[E Capacitor]]+Table1[[#This Row],[Edc]])</f>
        <v>0</v>
      </c>
    </row>
    <row r="177" spans="1:13" x14ac:dyDescent="0.25">
      <c r="A177">
        <v>0.85499999999999998</v>
      </c>
      <c r="B177">
        <f t="shared" si="10"/>
        <v>25.136999999999997</v>
      </c>
      <c r="C177">
        <f t="shared" si="11"/>
        <v>3.0373875000000012</v>
      </c>
      <c r="D177">
        <f>Irms-Table1[[#This Row],[Ripple Current (A)]]</f>
        <v>26.962612499999999</v>
      </c>
      <c r="E177">
        <f>Irms+Table1[[#This Row],[Ripple Current (A)]]</f>
        <v>33.037387500000001</v>
      </c>
      <c r="F177">
        <f>Table1[[#This Row],[Vout]]*(Table1[[#This Row],[Imin]]+Table1[[#This Row],[Ripple Current (A)]])</f>
        <v>754.1099999999999</v>
      </c>
      <c r="G177" s="1">
        <f>Table1[[#This Row],[Pout]]/Frequency</f>
        <v>7.5410999999999992E-2</v>
      </c>
      <c r="H177" s="1">
        <f>Table1[[#This Row],[Duty]]/Frequency</f>
        <v>8.5500000000000005E-5</v>
      </c>
      <c r="I177" s="1">
        <f>Table1[[#This Row],[Pout]]/Vin</f>
        <v>25.65</v>
      </c>
      <c r="J177" s="1">
        <f>Vin*Table1[[#This Row],[Idc]]*Table1[[#This Row],[Time On]]</f>
        <v>6.4476405000000001E-2</v>
      </c>
      <c r="K177" s="1">
        <f>Table1[[#This Row],[Energy/Cycle]]-Table1[[#This Row],[Edc]]</f>
        <v>1.0934594999999991E-2</v>
      </c>
      <c r="L177" s="1">
        <f>2*Table1[[#This Row],[E Capacitor]]/(Vin^2-(Vin-V_ripple)^2)</f>
        <v>7.5022950257289881E-4</v>
      </c>
      <c r="M177" s="1">
        <f>Table1[[#This Row],[Energy/Cycle]]-(Table1[[#This Row],[E Capacitor]]+Table1[[#This Row],[Edc]])</f>
        <v>0</v>
      </c>
    </row>
    <row r="178" spans="1:13" x14ac:dyDescent="0.25">
      <c r="A178">
        <v>0.86</v>
      </c>
      <c r="B178">
        <f t="shared" si="10"/>
        <v>25.283999999999999</v>
      </c>
      <c r="C178">
        <f t="shared" si="11"/>
        <v>2.9497999999999998</v>
      </c>
      <c r="D178">
        <f>Irms-Table1[[#This Row],[Ripple Current (A)]]</f>
        <v>27.0502</v>
      </c>
      <c r="E178">
        <f>Irms+Table1[[#This Row],[Ripple Current (A)]]</f>
        <v>32.949799999999996</v>
      </c>
      <c r="F178">
        <f>Table1[[#This Row],[Vout]]*(Table1[[#This Row],[Imin]]+Table1[[#This Row],[Ripple Current (A)]])</f>
        <v>758.52</v>
      </c>
      <c r="G178" s="1">
        <f>Table1[[#This Row],[Pout]]/Frequency</f>
        <v>7.5852000000000003E-2</v>
      </c>
      <c r="H178" s="1">
        <f>Table1[[#This Row],[Duty]]/Frequency</f>
        <v>8.6000000000000003E-5</v>
      </c>
      <c r="I178" s="1">
        <f>Table1[[#This Row],[Pout]]/Vin</f>
        <v>25.8</v>
      </c>
      <c r="J178" s="1">
        <f>Vin*Table1[[#This Row],[Idc]]*Table1[[#This Row],[Time On]]</f>
        <v>6.5232719999999994E-2</v>
      </c>
      <c r="K178" s="1">
        <f>Table1[[#This Row],[Energy/Cycle]]-Table1[[#This Row],[Edc]]</f>
        <v>1.0619280000000009E-2</v>
      </c>
      <c r="L178" s="1">
        <f>2*Table1[[#This Row],[E Capacitor]]/(Vin^2-(Vin-V_ripple)^2)</f>
        <v>7.2859554030874898E-4</v>
      </c>
      <c r="M178" s="1">
        <f>Table1[[#This Row],[Energy/Cycle]]-(Table1[[#This Row],[E Capacitor]]+Table1[[#This Row],[Edc]])</f>
        <v>0</v>
      </c>
    </row>
    <row r="179" spans="1:13" x14ac:dyDescent="0.25">
      <c r="A179">
        <v>0.86499999999999999</v>
      </c>
      <c r="B179">
        <f t="shared" si="10"/>
        <v>25.430999999999997</v>
      </c>
      <c r="C179">
        <f t="shared" si="11"/>
        <v>2.8609875000000007</v>
      </c>
      <c r="D179">
        <f>Irms-Table1[[#This Row],[Ripple Current (A)]]</f>
        <v>27.1390125</v>
      </c>
      <c r="E179">
        <f>Irms+Table1[[#This Row],[Ripple Current (A)]]</f>
        <v>32.8609875</v>
      </c>
      <c r="F179">
        <f>Table1[[#This Row],[Vout]]*(Table1[[#This Row],[Imin]]+Table1[[#This Row],[Ripple Current (A)]])</f>
        <v>762.93</v>
      </c>
      <c r="G179" s="1">
        <f>Table1[[#This Row],[Pout]]/Frequency</f>
        <v>7.6293E-2</v>
      </c>
      <c r="H179" s="1">
        <f>Table1[[#This Row],[Duty]]/Frequency</f>
        <v>8.6500000000000002E-5</v>
      </c>
      <c r="I179" s="1">
        <f>Table1[[#This Row],[Pout]]/Vin</f>
        <v>25.95</v>
      </c>
      <c r="J179" s="1">
        <f>Vin*Table1[[#This Row],[Idc]]*Table1[[#This Row],[Time On]]</f>
        <v>6.5993444999999998E-2</v>
      </c>
      <c r="K179" s="1">
        <f>Table1[[#This Row],[Energy/Cycle]]-Table1[[#This Row],[Edc]]</f>
        <v>1.0299555000000002E-2</v>
      </c>
      <c r="L179" s="1">
        <f>2*Table1[[#This Row],[E Capacitor]]/(Vin^2-(Vin-V_ripple)^2)</f>
        <v>7.0665900514579828E-4</v>
      </c>
      <c r="M179" s="1">
        <f>Table1[[#This Row],[Energy/Cycle]]-(Table1[[#This Row],[E Capacitor]]+Table1[[#This Row],[Edc]])</f>
        <v>0</v>
      </c>
    </row>
    <row r="180" spans="1:13" x14ac:dyDescent="0.25">
      <c r="A180">
        <v>0.87</v>
      </c>
      <c r="B180">
        <f t="shared" si="10"/>
        <v>25.577999999999999</v>
      </c>
      <c r="C180">
        <f t="shared" si="11"/>
        <v>2.7709499999999996</v>
      </c>
      <c r="D180">
        <f>Irms-Table1[[#This Row],[Ripple Current (A)]]</f>
        <v>27.229050000000001</v>
      </c>
      <c r="E180">
        <f>Irms+Table1[[#This Row],[Ripple Current (A)]]</f>
        <v>32.770949999999999</v>
      </c>
      <c r="F180">
        <f>Table1[[#This Row],[Vout]]*(Table1[[#This Row],[Imin]]+Table1[[#This Row],[Ripple Current (A)]])</f>
        <v>767.34</v>
      </c>
      <c r="G180" s="1">
        <f>Table1[[#This Row],[Pout]]/Frequency</f>
        <v>7.6733999999999997E-2</v>
      </c>
      <c r="H180" s="1">
        <f>Table1[[#This Row],[Duty]]/Frequency</f>
        <v>8.7000000000000001E-5</v>
      </c>
      <c r="I180" s="1">
        <f>Table1[[#This Row],[Pout]]/Vin</f>
        <v>26.1</v>
      </c>
      <c r="J180" s="1">
        <f>Vin*Table1[[#This Row],[Idc]]*Table1[[#This Row],[Time On]]</f>
        <v>6.6758579999999998E-2</v>
      </c>
      <c r="K180" s="1">
        <f>Table1[[#This Row],[Energy/Cycle]]-Table1[[#This Row],[Edc]]</f>
        <v>9.9754199999999987E-3</v>
      </c>
      <c r="L180" s="1">
        <f>2*Table1[[#This Row],[E Capacitor]]/(Vin^2-(Vin-V_ripple)^2)</f>
        <v>6.8441989708404845E-4</v>
      </c>
      <c r="M180" s="1">
        <f>Table1[[#This Row],[Energy/Cycle]]-(Table1[[#This Row],[E Capacitor]]+Table1[[#This Row],[Edc]])</f>
        <v>0</v>
      </c>
    </row>
    <row r="181" spans="1:13" x14ac:dyDescent="0.25">
      <c r="A181">
        <v>0.875</v>
      </c>
      <c r="B181">
        <f t="shared" si="10"/>
        <v>25.724999999999998</v>
      </c>
      <c r="C181">
        <f t="shared" si="11"/>
        <v>2.6796875000000004</v>
      </c>
      <c r="D181">
        <f>Irms-Table1[[#This Row],[Ripple Current (A)]]</f>
        <v>27.3203125</v>
      </c>
      <c r="E181">
        <f>Irms+Table1[[#This Row],[Ripple Current (A)]]</f>
        <v>32.6796875</v>
      </c>
      <c r="F181">
        <f>Table1[[#This Row],[Vout]]*(Table1[[#This Row],[Imin]]+Table1[[#This Row],[Ripple Current (A)]])</f>
        <v>771.74999999999989</v>
      </c>
      <c r="G181" s="1">
        <f>Table1[[#This Row],[Pout]]/Frequency</f>
        <v>7.7174999999999994E-2</v>
      </c>
      <c r="H181" s="1">
        <f>Table1[[#This Row],[Duty]]/Frequency</f>
        <v>8.7499999999999999E-5</v>
      </c>
      <c r="I181" s="1">
        <f>Table1[[#This Row],[Pout]]/Vin</f>
        <v>26.249999999999996</v>
      </c>
      <c r="J181" s="1">
        <f>Vin*Table1[[#This Row],[Idc]]*Table1[[#This Row],[Time On]]</f>
        <v>6.7528124999999994E-2</v>
      </c>
      <c r="K181" s="1">
        <f>Table1[[#This Row],[Energy/Cycle]]-Table1[[#This Row],[Edc]]</f>
        <v>9.6468749999999992E-3</v>
      </c>
      <c r="L181" s="1">
        <f>2*Table1[[#This Row],[E Capacitor]]/(Vin^2-(Vin-V_ripple)^2)</f>
        <v>6.618782161234996E-4</v>
      </c>
      <c r="M181" s="1">
        <f>Table1[[#This Row],[Energy/Cycle]]-(Table1[[#This Row],[E Capacitor]]+Table1[[#This Row],[Edc]])</f>
        <v>0</v>
      </c>
    </row>
    <row r="182" spans="1:13" x14ac:dyDescent="0.25">
      <c r="A182">
        <v>0.88</v>
      </c>
      <c r="B182">
        <f t="shared" si="10"/>
        <v>25.872</v>
      </c>
      <c r="C182">
        <f t="shared" si="11"/>
        <v>2.5871999999999993</v>
      </c>
      <c r="D182">
        <f>Irms-Table1[[#This Row],[Ripple Current (A)]]</f>
        <v>27.412800000000001</v>
      </c>
      <c r="E182">
        <f>Irms+Table1[[#This Row],[Ripple Current (A)]]</f>
        <v>32.587199999999996</v>
      </c>
      <c r="F182">
        <f>Table1[[#This Row],[Vout]]*(Table1[[#This Row],[Imin]]+Table1[[#This Row],[Ripple Current (A)]])</f>
        <v>776.16</v>
      </c>
      <c r="G182" s="1">
        <f>Table1[[#This Row],[Pout]]/Frequency</f>
        <v>7.7615999999999991E-2</v>
      </c>
      <c r="H182" s="1">
        <f>Table1[[#This Row],[Duty]]/Frequency</f>
        <v>8.7999999999999998E-5</v>
      </c>
      <c r="I182" s="1">
        <f>Table1[[#This Row],[Pout]]/Vin</f>
        <v>26.4</v>
      </c>
      <c r="J182" s="1">
        <f>Vin*Table1[[#This Row],[Idc]]*Table1[[#This Row],[Time On]]</f>
        <v>6.8302080000000001E-2</v>
      </c>
      <c r="K182" s="1">
        <f>Table1[[#This Row],[Energy/Cycle]]-Table1[[#This Row],[Edc]]</f>
        <v>9.3139199999999894E-3</v>
      </c>
      <c r="L182" s="1">
        <f>2*Table1[[#This Row],[E Capacitor]]/(Vin^2-(Vin-V_ripple)^2)</f>
        <v>6.3903396226415075E-4</v>
      </c>
      <c r="M182" s="1">
        <f>Table1[[#This Row],[Energy/Cycle]]-(Table1[[#This Row],[E Capacitor]]+Table1[[#This Row],[Edc]])</f>
        <v>0</v>
      </c>
    </row>
    <row r="183" spans="1:13" x14ac:dyDescent="0.25">
      <c r="A183">
        <v>0.88500000000000001</v>
      </c>
      <c r="B183">
        <f t="shared" si="10"/>
        <v>26.018999999999998</v>
      </c>
      <c r="C183">
        <f t="shared" si="11"/>
        <v>2.4934875000000001</v>
      </c>
      <c r="D183">
        <f>Irms-Table1[[#This Row],[Ripple Current (A)]]</f>
        <v>27.506512499999999</v>
      </c>
      <c r="E183">
        <f>Irms+Table1[[#This Row],[Ripple Current (A)]]</f>
        <v>32.493487500000001</v>
      </c>
      <c r="F183">
        <f>Table1[[#This Row],[Vout]]*(Table1[[#This Row],[Imin]]+Table1[[#This Row],[Ripple Current (A)]])</f>
        <v>780.56999999999994</v>
      </c>
      <c r="G183" s="1">
        <f>Table1[[#This Row],[Pout]]/Frequency</f>
        <v>7.8056999999999988E-2</v>
      </c>
      <c r="H183" s="1">
        <f>Table1[[#This Row],[Duty]]/Frequency</f>
        <v>8.8499999999999996E-5</v>
      </c>
      <c r="I183" s="1">
        <f>Table1[[#This Row],[Pout]]/Vin</f>
        <v>26.55</v>
      </c>
      <c r="J183" s="1">
        <f>Vin*Table1[[#This Row],[Idc]]*Table1[[#This Row],[Time On]]</f>
        <v>6.908044499999999E-2</v>
      </c>
      <c r="K183" s="1">
        <f>Table1[[#This Row],[Energy/Cycle]]-Table1[[#This Row],[Edc]]</f>
        <v>8.9765549999999972E-3</v>
      </c>
      <c r="L183" s="1">
        <f>2*Table1[[#This Row],[E Capacitor]]/(Vin^2-(Vin-V_ripple)^2)</f>
        <v>6.1588713550600374E-4</v>
      </c>
      <c r="M183" s="1">
        <f>Table1[[#This Row],[Energy/Cycle]]-(Table1[[#This Row],[E Capacitor]]+Table1[[#This Row],[Edc]])</f>
        <v>0</v>
      </c>
    </row>
    <row r="184" spans="1:13" x14ac:dyDescent="0.25">
      <c r="A184">
        <v>0.89</v>
      </c>
      <c r="B184">
        <f t="shared" si="10"/>
        <v>26.166</v>
      </c>
      <c r="C184">
        <f t="shared" si="11"/>
        <v>2.3985499999999988</v>
      </c>
      <c r="D184">
        <f>Irms-Table1[[#This Row],[Ripple Current (A)]]</f>
        <v>27.60145</v>
      </c>
      <c r="E184">
        <f>Irms+Table1[[#This Row],[Ripple Current (A)]]</f>
        <v>32.39855</v>
      </c>
      <c r="F184">
        <f>Table1[[#This Row],[Vout]]*(Table1[[#This Row],[Imin]]+Table1[[#This Row],[Ripple Current (A)]])</f>
        <v>784.98</v>
      </c>
      <c r="G184" s="1">
        <f>Table1[[#This Row],[Pout]]/Frequency</f>
        <v>7.8497999999999998E-2</v>
      </c>
      <c r="H184" s="1">
        <f>Table1[[#This Row],[Duty]]/Frequency</f>
        <v>8.8999999999999995E-5</v>
      </c>
      <c r="I184" s="1">
        <f>Table1[[#This Row],[Pout]]/Vin</f>
        <v>26.700000000000003</v>
      </c>
      <c r="J184" s="1">
        <f>Vin*Table1[[#This Row],[Idc]]*Table1[[#This Row],[Time On]]</f>
        <v>6.9863220000000004E-2</v>
      </c>
      <c r="K184" s="1">
        <f>Table1[[#This Row],[Energy/Cycle]]-Table1[[#This Row],[Edc]]</f>
        <v>8.6347799999999947E-3</v>
      </c>
      <c r="L184" s="1">
        <f>2*Table1[[#This Row],[E Capacitor]]/(Vin^2-(Vin-V_ripple)^2)</f>
        <v>5.9243773584905673E-4</v>
      </c>
      <c r="M184" s="1">
        <f>Table1[[#This Row],[Energy/Cycle]]-(Table1[[#This Row],[E Capacitor]]+Table1[[#This Row],[Edc]])</f>
        <v>0</v>
      </c>
    </row>
    <row r="185" spans="1:13" x14ac:dyDescent="0.25">
      <c r="A185">
        <v>0.89500000000000002</v>
      </c>
      <c r="B185">
        <f t="shared" si="10"/>
        <v>26.312999999999999</v>
      </c>
      <c r="C185">
        <f t="shared" si="11"/>
        <v>2.3023875</v>
      </c>
      <c r="D185">
        <f>Irms-Table1[[#This Row],[Ripple Current (A)]]</f>
        <v>27.697612499999998</v>
      </c>
      <c r="E185">
        <f>Irms+Table1[[#This Row],[Ripple Current (A)]]</f>
        <v>32.302387500000002</v>
      </c>
      <c r="F185">
        <f>Table1[[#This Row],[Vout]]*(Table1[[#This Row],[Imin]]+Table1[[#This Row],[Ripple Current (A)]])</f>
        <v>789.39</v>
      </c>
      <c r="G185" s="1">
        <f>Table1[[#This Row],[Pout]]/Frequency</f>
        <v>7.8938999999999995E-2</v>
      </c>
      <c r="H185" s="1">
        <f>Table1[[#This Row],[Duty]]/Frequency</f>
        <v>8.9500000000000007E-5</v>
      </c>
      <c r="I185" s="1">
        <f>Table1[[#This Row],[Pout]]/Vin</f>
        <v>26.85</v>
      </c>
      <c r="J185" s="1">
        <f>Vin*Table1[[#This Row],[Idc]]*Table1[[#This Row],[Time On]]</f>
        <v>7.0650404999999999E-2</v>
      </c>
      <c r="K185" s="1">
        <f>Table1[[#This Row],[Energy/Cycle]]-Table1[[#This Row],[Edc]]</f>
        <v>8.2885949999999958E-3</v>
      </c>
      <c r="L185" s="1">
        <f>2*Table1[[#This Row],[E Capacitor]]/(Vin^2-(Vin-V_ripple)^2)</f>
        <v>5.6868576329331059E-4</v>
      </c>
      <c r="M185" s="1">
        <f>Table1[[#This Row],[Energy/Cycle]]-(Table1[[#This Row],[E Capacitor]]+Table1[[#This Row],[Edc]])</f>
        <v>0</v>
      </c>
    </row>
    <row r="186" spans="1:13" x14ac:dyDescent="0.25">
      <c r="A186">
        <v>0.9</v>
      </c>
      <c r="B186">
        <f t="shared" si="10"/>
        <v>26.46</v>
      </c>
      <c r="C186">
        <f t="shared" si="11"/>
        <v>2.2049999999999987</v>
      </c>
      <c r="D186">
        <f>Irms-Table1[[#This Row],[Ripple Current (A)]]</f>
        <v>27.795000000000002</v>
      </c>
      <c r="E186">
        <f>Irms+Table1[[#This Row],[Ripple Current (A)]]</f>
        <v>32.204999999999998</v>
      </c>
      <c r="F186">
        <f>Table1[[#This Row],[Vout]]*(Table1[[#This Row],[Imin]]+Table1[[#This Row],[Ripple Current (A)]])</f>
        <v>793.80000000000007</v>
      </c>
      <c r="G186" s="1">
        <f>Table1[[#This Row],[Pout]]/Frequency</f>
        <v>7.9380000000000006E-2</v>
      </c>
      <c r="H186" s="1">
        <f>Table1[[#This Row],[Duty]]/Frequency</f>
        <v>9.0000000000000006E-5</v>
      </c>
      <c r="I186" s="1">
        <f>Table1[[#This Row],[Pout]]/Vin</f>
        <v>27.000000000000004</v>
      </c>
      <c r="J186" s="1">
        <f>Vin*Table1[[#This Row],[Idc]]*Table1[[#This Row],[Time On]]</f>
        <v>7.1442000000000005E-2</v>
      </c>
      <c r="K186" s="1">
        <f>Table1[[#This Row],[Energy/Cycle]]-Table1[[#This Row],[Edc]]</f>
        <v>7.9380000000000006E-3</v>
      </c>
      <c r="L186" s="1">
        <f>2*Table1[[#This Row],[E Capacitor]]/(Vin^2-(Vin-V_ripple)^2)</f>
        <v>5.4463121783876543E-4</v>
      </c>
      <c r="M186" s="1">
        <f>Table1[[#This Row],[Energy/Cycle]]-(Table1[[#This Row],[E Capacitor]]+Table1[[#This Row],[Edc]])</f>
        <v>0</v>
      </c>
    </row>
    <row r="187" spans="1:13" x14ac:dyDescent="0.25">
      <c r="A187">
        <v>0.90500000000000003</v>
      </c>
      <c r="B187">
        <f t="shared" si="10"/>
        <v>26.606999999999999</v>
      </c>
      <c r="C187">
        <f t="shared" si="11"/>
        <v>2.1063874999999994</v>
      </c>
      <c r="D187">
        <f>Irms-Table1[[#This Row],[Ripple Current (A)]]</f>
        <v>27.8936125</v>
      </c>
      <c r="E187">
        <f>Irms+Table1[[#This Row],[Ripple Current (A)]]</f>
        <v>32.106387499999997</v>
      </c>
      <c r="F187">
        <f>Table1[[#This Row],[Vout]]*(Table1[[#This Row],[Imin]]+Table1[[#This Row],[Ripple Current (A)]])</f>
        <v>798.21</v>
      </c>
      <c r="G187" s="1">
        <f>Table1[[#This Row],[Pout]]/Frequency</f>
        <v>7.9821000000000003E-2</v>
      </c>
      <c r="H187" s="1">
        <f>Table1[[#This Row],[Duty]]/Frequency</f>
        <v>9.0500000000000004E-5</v>
      </c>
      <c r="I187" s="1">
        <f>Table1[[#This Row],[Pout]]/Vin</f>
        <v>27.150000000000002</v>
      </c>
      <c r="J187" s="1">
        <f>Vin*Table1[[#This Row],[Idc]]*Table1[[#This Row],[Time On]]</f>
        <v>7.2238005000000008E-2</v>
      </c>
      <c r="K187" s="1">
        <f>Table1[[#This Row],[Energy/Cycle]]-Table1[[#This Row],[Edc]]</f>
        <v>7.5829949999999952E-3</v>
      </c>
      <c r="L187" s="1">
        <f>2*Table1[[#This Row],[E Capacitor]]/(Vin^2-(Vin-V_ripple)^2)</f>
        <v>5.2027409948542027E-4</v>
      </c>
      <c r="M187" s="1">
        <f>Table1[[#This Row],[Energy/Cycle]]-(Table1[[#This Row],[E Capacitor]]+Table1[[#This Row],[Edc]])</f>
        <v>0</v>
      </c>
    </row>
    <row r="188" spans="1:13" x14ac:dyDescent="0.25">
      <c r="A188">
        <v>0.91</v>
      </c>
      <c r="B188">
        <f t="shared" si="10"/>
        <v>26.754000000000001</v>
      </c>
      <c r="C188">
        <f t="shared" si="11"/>
        <v>2.0065499999999981</v>
      </c>
      <c r="D188">
        <f>Irms-Table1[[#This Row],[Ripple Current (A)]]</f>
        <v>27.993450000000003</v>
      </c>
      <c r="E188">
        <f>Irms+Table1[[#This Row],[Ripple Current (A)]]</f>
        <v>32.006549999999997</v>
      </c>
      <c r="F188">
        <f>Table1[[#This Row],[Vout]]*(Table1[[#This Row],[Imin]]+Table1[[#This Row],[Ripple Current (A)]])</f>
        <v>802.62</v>
      </c>
      <c r="G188" s="1">
        <f>Table1[[#This Row],[Pout]]/Frequency</f>
        <v>8.0262E-2</v>
      </c>
      <c r="H188" s="1">
        <f>Table1[[#This Row],[Duty]]/Frequency</f>
        <v>9.1000000000000003E-5</v>
      </c>
      <c r="I188" s="1">
        <f>Table1[[#This Row],[Pout]]/Vin</f>
        <v>27.3</v>
      </c>
      <c r="J188" s="1">
        <f>Vin*Table1[[#This Row],[Idc]]*Table1[[#This Row],[Time On]]</f>
        <v>7.3038420000000007E-2</v>
      </c>
      <c r="K188" s="1">
        <f>Table1[[#This Row],[Energy/Cycle]]-Table1[[#This Row],[Edc]]</f>
        <v>7.2235799999999933E-3</v>
      </c>
      <c r="L188" s="1">
        <f>2*Table1[[#This Row],[E Capacitor]]/(Vin^2-(Vin-V_ripple)^2)</f>
        <v>4.9561440823327608E-4</v>
      </c>
      <c r="M188" s="1">
        <f>Table1[[#This Row],[Energy/Cycle]]-(Table1[[#This Row],[E Capacitor]]+Table1[[#This Row],[Edc]])</f>
        <v>0</v>
      </c>
    </row>
    <row r="189" spans="1:13" x14ac:dyDescent="0.25">
      <c r="A189">
        <v>0.91500000000000004</v>
      </c>
      <c r="B189">
        <f t="shared" si="10"/>
        <v>26.901</v>
      </c>
      <c r="C189">
        <f t="shared" si="11"/>
        <v>1.9054874999999991</v>
      </c>
      <c r="D189">
        <f>Irms-Table1[[#This Row],[Ripple Current (A)]]</f>
        <v>28.0945125</v>
      </c>
      <c r="E189">
        <f>Irms+Table1[[#This Row],[Ripple Current (A)]]</f>
        <v>31.9054875</v>
      </c>
      <c r="F189">
        <f>Table1[[#This Row],[Vout]]*(Table1[[#This Row],[Imin]]+Table1[[#This Row],[Ripple Current (A)]])</f>
        <v>807.03</v>
      </c>
      <c r="G189" s="1">
        <f>Table1[[#This Row],[Pout]]/Frequency</f>
        <v>8.0702999999999997E-2</v>
      </c>
      <c r="H189" s="1">
        <f>Table1[[#This Row],[Duty]]/Frequency</f>
        <v>9.1500000000000001E-5</v>
      </c>
      <c r="I189" s="1">
        <f>Table1[[#This Row],[Pout]]/Vin</f>
        <v>27.45</v>
      </c>
      <c r="J189" s="1">
        <f>Vin*Table1[[#This Row],[Idc]]*Table1[[#This Row],[Time On]]</f>
        <v>7.3843245000000002E-2</v>
      </c>
      <c r="K189" s="1">
        <f>Table1[[#This Row],[Energy/Cycle]]-Table1[[#This Row],[Edc]]</f>
        <v>6.8597549999999952E-3</v>
      </c>
      <c r="L189" s="1">
        <f>2*Table1[[#This Row],[E Capacitor]]/(Vin^2-(Vin-V_ripple)^2)</f>
        <v>4.7065214408233282E-4</v>
      </c>
      <c r="M189" s="1">
        <f>Table1[[#This Row],[Energy/Cycle]]-(Table1[[#This Row],[E Capacitor]]+Table1[[#This Row],[Edc]])</f>
        <v>0</v>
      </c>
    </row>
    <row r="190" spans="1:13" x14ac:dyDescent="0.25">
      <c r="A190">
        <v>0.92</v>
      </c>
      <c r="B190">
        <f t="shared" si="10"/>
        <v>27.047999999999998</v>
      </c>
      <c r="C190">
        <f t="shared" si="11"/>
        <v>1.8032000000000004</v>
      </c>
      <c r="D190">
        <f>Irms-Table1[[#This Row],[Ripple Current (A)]]</f>
        <v>28.1968</v>
      </c>
      <c r="E190">
        <f>Irms+Table1[[#This Row],[Ripple Current (A)]]</f>
        <v>31.8032</v>
      </c>
      <c r="F190">
        <f>Table1[[#This Row],[Vout]]*(Table1[[#This Row],[Imin]]+Table1[[#This Row],[Ripple Current (A)]])</f>
        <v>811.43999999999994</v>
      </c>
      <c r="G190" s="1">
        <f>Table1[[#This Row],[Pout]]/Frequency</f>
        <v>8.1143999999999994E-2</v>
      </c>
      <c r="H190" s="1">
        <f>Table1[[#This Row],[Duty]]/Frequency</f>
        <v>9.2E-5</v>
      </c>
      <c r="I190" s="1">
        <f>Table1[[#This Row],[Pout]]/Vin</f>
        <v>27.599999999999998</v>
      </c>
      <c r="J190" s="1">
        <f>Vin*Table1[[#This Row],[Idc]]*Table1[[#This Row],[Time On]]</f>
        <v>7.4652479999999993E-2</v>
      </c>
      <c r="K190" s="1">
        <f>Table1[[#This Row],[Energy/Cycle]]-Table1[[#This Row],[Edc]]</f>
        <v>6.4915200000000006E-3</v>
      </c>
      <c r="L190" s="1">
        <f>2*Table1[[#This Row],[E Capacitor]]/(Vin^2-(Vin-V_ripple)^2)</f>
        <v>4.4538730703259043E-4</v>
      </c>
      <c r="M190" s="1">
        <f>Table1[[#This Row],[Energy/Cycle]]-(Table1[[#This Row],[E Capacitor]]+Table1[[#This Row],[Edc]])</f>
        <v>0</v>
      </c>
    </row>
    <row r="191" spans="1:13" x14ac:dyDescent="0.25">
      <c r="A191">
        <v>0.92500000000000004</v>
      </c>
      <c r="B191">
        <f t="shared" si="10"/>
        <v>27.195</v>
      </c>
      <c r="C191">
        <f t="shared" si="11"/>
        <v>1.6996874999999989</v>
      </c>
      <c r="D191">
        <f>Irms-Table1[[#This Row],[Ripple Current (A)]]</f>
        <v>28.3003125</v>
      </c>
      <c r="E191">
        <f>Irms+Table1[[#This Row],[Ripple Current (A)]]</f>
        <v>31.6996875</v>
      </c>
      <c r="F191">
        <f>Table1[[#This Row],[Vout]]*(Table1[[#This Row],[Imin]]+Table1[[#This Row],[Ripple Current (A)]])</f>
        <v>815.85</v>
      </c>
      <c r="G191" s="1">
        <f>Table1[[#This Row],[Pout]]/Frequency</f>
        <v>8.1585000000000005E-2</v>
      </c>
      <c r="H191" s="1">
        <f>Table1[[#This Row],[Duty]]/Frequency</f>
        <v>9.2499999999999999E-5</v>
      </c>
      <c r="I191" s="1">
        <f>Table1[[#This Row],[Pout]]/Vin</f>
        <v>27.750000000000004</v>
      </c>
      <c r="J191" s="1">
        <f>Vin*Table1[[#This Row],[Idc]]*Table1[[#This Row],[Time On]]</f>
        <v>7.5466124999999995E-2</v>
      </c>
      <c r="K191" s="1">
        <f>Table1[[#This Row],[Energy/Cycle]]-Table1[[#This Row],[Edc]]</f>
        <v>6.1188750000000097E-3</v>
      </c>
      <c r="L191" s="1">
        <f>2*Table1[[#This Row],[E Capacitor]]/(Vin^2-(Vin-V_ripple)^2)</f>
        <v>4.1981989708404901E-4</v>
      </c>
      <c r="M191" s="1">
        <f>Table1[[#This Row],[Energy/Cycle]]-(Table1[[#This Row],[E Capacitor]]+Table1[[#This Row],[Edc]])</f>
        <v>0</v>
      </c>
    </row>
    <row r="192" spans="1:13" x14ac:dyDescent="0.25">
      <c r="A192">
        <v>0.93</v>
      </c>
      <c r="B192">
        <f t="shared" si="10"/>
        <v>27.341999999999999</v>
      </c>
      <c r="C192">
        <f t="shared" si="11"/>
        <v>1.5949500000000001</v>
      </c>
      <c r="D192">
        <f>Irms-Table1[[#This Row],[Ripple Current (A)]]</f>
        <v>28.405049999999999</v>
      </c>
      <c r="E192">
        <f>Irms+Table1[[#This Row],[Ripple Current (A)]]</f>
        <v>31.594950000000001</v>
      </c>
      <c r="F192">
        <f>Table1[[#This Row],[Vout]]*(Table1[[#This Row],[Imin]]+Table1[[#This Row],[Ripple Current (A)]])</f>
        <v>820.26</v>
      </c>
      <c r="G192" s="1">
        <f>Table1[[#This Row],[Pout]]/Frequency</f>
        <v>8.2026000000000002E-2</v>
      </c>
      <c r="H192" s="1">
        <f>Table1[[#This Row],[Duty]]/Frequency</f>
        <v>9.3000000000000011E-5</v>
      </c>
      <c r="I192" s="1">
        <f>Table1[[#This Row],[Pout]]/Vin</f>
        <v>27.900000000000002</v>
      </c>
      <c r="J192" s="1">
        <f>Vin*Table1[[#This Row],[Idc]]*Table1[[#This Row],[Time On]]</f>
        <v>7.6284180000000007E-2</v>
      </c>
      <c r="K192" s="1">
        <f>Table1[[#This Row],[Energy/Cycle]]-Table1[[#This Row],[Edc]]</f>
        <v>5.7418199999999947E-3</v>
      </c>
      <c r="L192" s="1">
        <f>2*Table1[[#This Row],[E Capacitor]]/(Vin^2-(Vin-V_ripple)^2)</f>
        <v>3.9394991423670662E-4</v>
      </c>
      <c r="M192" s="1">
        <f>Table1[[#This Row],[Energy/Cycle]]-(Table1[[#This Row],[E Capacitor]]+Table1[[#This Row],[Edc]])</f>
        <v>0</v>
      </c>
    </row>
    <row r="193" spans="1:13" x14ac:dyDescent="0.25">
      <c r="A193">
        <v>0.93500000000000005</v>
      </c>
      <c r="B193">
        <f t="shared" si="10"/>
        <v>27.489000000000001</v>
      </c>
      <c r="C193">
        <f t="shared" si="11"/>
        <v>1.4889874999999984</v>
      </c>
      <c r="D193">
        <f>Irms-Table1[[#This Row],[Ripple Current (A)]]</f>
        <v>28.511012500000003</v>
      </c>
      <c r="E193">
        <f>Irms+Table1[[#This Row],[Ripple Current (A)]]</f>
        <v>31.488987499999997</v>
      </c>
      <c r="F193">
        <f>Table1[[#This Row],[Vout]]*(Table1[[#This Row],[Imin]]+Table1[[#This Row],[Ripple Current (A)]])</f>
        <v>824.67000000000007</v>
      </c>
      <c r="G193" s="1">
        <f>Table1[[#This Row],[Pout]]/Frequency</f>
        <v>8.2467000000000013E-2</v>
      </c>
      <c r="H193" s="1">
        <f>Table1[[#This Row],[Duty]]/Frequency</f>
        <v>9.3500000000000009E-5</v>
      </c>
      <c r="I193" s="1">
        <f>Table1[[#This Row],[Pout]]/Vin</f>
        <v>28.050000000000004</v>
      </c>
      <c r="J193" s="1">
        <f>Vin*Table1[[#This Row],[Idc]]*Table1[[#This Row],[Time On]]</f>
        <v>7.7106645000000015E-2</v>
      </c>
      <c r="K193" s="1">
        <f>Table1[[#This Row],[Energy/Cycle]]-Table1[[#This Row],[Edc]]</f>
        <v>5.3603549999999972E-3</v>
      </c>
      <c r="L193" s="1">
        <f>2*Table1[[#This Row],[E Capacitor]]/(Vin^2-(Vin-V_ripple)^2)</f>
        <v>3.6777735849056613E-4</v>
      </c>
      <c r="M193" s="1">
        <f>Table1[[#This Row],[Energy/Cycle]]-(Table1[[#This Row],[E Capacitor]]+Table1[[#This Row],[Edc]])</f>
        <v>0</v>
      </c>
    </row>
    <row r="194" spans="1:13" x14ac:dyDescent="0.25">
      <c r="A194">
        <v>0.94</v>
      </c>
      <c r="B194">
        <f t="shared" si="10"/>
        <v>27.635999999999996</v>
      </c>
      <c r="C194">
        <f t="shared" si="11"/>
        <v>1.3818000000000021</v>
      </c>
      <c r="D194">
        <f>Irms-Table1[[#This Row],[Ripple Current (A)]]</f>
        <v>28.618199999999998</v>
      </c>
      <c r="E194">
        <f>Irms+Table1[[#This Row],[Ripple Current (A)]]</f>
        <v>31.381800000000002</v>
      </c>
      <c r="F194">
        <f>Table1[[#This Row],[Vout]]*(Table1[[#This Row],[Imin]]+Table1[[#This Row],[Ripple Current (A)]])</f>
        <v>829.07999999999993</v>
      </c>
      <c r="G194" s="1">
        <f>Table1[[#This Row],[Pout]]/Frequency</f>
        <v>8.2907999999999996E-2</v>
      </c>
      <c r="H194" s="1">
        <f>Table1[[#This Row],[Duty]]/Frequency</f>
        <v>9.3999999999999994E-5</v>
      </c>
      <c r="I194" s="1">
        <f>Table1[[#This Row],[Pout]]/Vin</f>
        <v>28.2</v>
      </c>
      <c r="J194" s="1">
        <f>Vin*Table1[[#This Row],[Idc]]*Table1[[#This Row],[Time On]]</f>
        <v>7.7933519999999992E-2</v>
      </c>
      <c r="K194" s="1">
        <f>Table1[[#This Row],[Energy/Cycle]]-Table1[[#This Row],[Edc]]</f>
        <v>4.9744800000000033E-3</v>
      </c>
      <c r="L194" s="1">
        <f>2*Table1[[#This Row],[E Capacitor]]/(Vin^2-(Vin-V_ripple)^2)</f>
        <v>3.4130222984562656E-4</v>
      </c>
      <c r="M194" s="1">
        <f>Table1[[#This Row],[Energy/Cycle]]-(Table1[[#This Row],[E Capacitor]]+Table1[[#This Row],[Edc]])</f>
        <v>0</v>
      </c>
    </row>
    <row r="195" spans="1:13" x14ac:dyDescent="0.25">
      <c r="A195">
        <v>0.94499999999999995</v>
      </c>
      <c r="B195">
        <f t="shared" si="10"/>
        <v>27.782999999999998</v>
      </c>
      <c r="C195">
        <f t="shared" si="11"/>
        <v>1.2733875000000006</v>
      </c>
      <c r="D195">
        <f>Irms-Table1[[#This Row],[Ripple Current (A)]]</f>
        <v>28.726612499999998</v>
      </c>
      <c r="E195">
        <f>Irms+Table1[[#This Row],[Ripple Current (A)]]</f>
        <v>31.273387500000002</v>
      </c>
      <c r="F195">
        <f>Table1[[#This Row],[Vout]]*(Table1[[#This Row],[Imin]]+Table1[[#This Row],[Ripple Current (A)]])</f>
        <v>833.4899999999999</v>
      </c>
      <c r="G195" s="1">
        <f>Table1[[#This Row],[Pout]]/Frequency</f>
        <v>8.3348999999999993E-2</v>
      </c>
      <c r="H195" s="1">
        <f>Table1[[#This Row],[Duty]]/Frequency</f>
        <v>9.4499999999999993E-5</v>
      </c>
      <c r="I195" s="1">
        <f>Table1[[#This Row],[Pout]]/Vin</f>
        <v>28.349999999999998</v>
      </c>
      <c r="J195" s="1">
        <f>Vin*Table1[[#This Row],[Idc]]*Table1[[#This Row],[Time On]]</f>
        <v>7.8764804999999979E-2</v>
      </c>
      <c r="K195" s="1">
        <f>Table1[[#This Row],[Energy/Cycle]]-Table1[[#This Row],[Edc]]</f>
        <v>4.5841950000000131E-3</v>
      </c>
      <c r="L195" s="1">
        <f>2*Table1[[#This Row],[E Capacitor]]/(Vin^2-(Vin-V_ripple)^2)</f>
        <v>3.1452452830188791E-4</v>
      </c>
      <c r="M195" s="1">
        <f>Table1[[#This Row],[Energy/Cycle]]-(Table1[[#This Row],[E Capacitor]]+Table1[[#This Row],[Edc]])</f>
        <v>0</v>
      </c>
    </row>
    <row r="196" spans="1:13" x14ac:dyDescent="0.25">
      <c r="A196">
        <v>0.95</v>
      </c>
      <c r="B196">
        <f t="shared" si="10"/>
        <v>27.929999999999996</v>
      </c>
      <c r="C196">
        <f t="shared" si="11"/>
        <v>1.1637500000000021</v>
      </c>
      <c r="D196">
        <f>Irms-Table1[[#This Row],[Ripple Current (A)]]</f>
        <v>28.83625</v>
      </c>
      <c r="E196">
        <f>Irms+Table1[[#This Row],[Ripple Current (A)]]</f>
        <v>31.16375</v>
      </c>
      <c r="F196">
        <f>Table1[[#This Row],[Vout]]*(Table1[[#This Row],[Imin]]+Table1[[#This Row],[Ripple Current (A)]])</f>
        <v>837.89999999999986</v>
      </c>
      <c r="G196" s="1">
        <f>Table1[[#This Row],[Pout]]/Frequency</f>
        <v>8.3789999999999989E-2</v>
      </c>
      <c r="H196" s="1">
        <f>Table1[[#This Row],[Duty]]/Frequency</f>
        <v>9.4999999999999992E-5</v>
      </c>
      <c r="I196" s="1">
        <f>Table1[[#This Row],[Pout]]/Vin</f>
        <v>28.499999999999996</v>
      </c>
      <c r="J196" s="1">
        <f>Vin*Table1[[#This Row],[Idc]]*Table1[[#This Row],[Time On]]</f>
        <v>7.9600499999999977E-2</v>
      </c>
      <c r="K196" s="1">
        <f>Table1[[#This Row],[Energy/Cycle]]-Table1[[#This Row],[Edc]]</f>
        <v>4.1895000000000127E-3</v>
      </c>
      <c r="L196" s="1">
        <f>2*Table1[[#This Row],[E Capacitor]]/(Vin^2-(Vin-V_ripple)^2)</f>
        <v>2.8744425385934927E-4</v>
      </c>
      <c r="M196" s="1">
        <f>Table1[[#This Row],[Energy/Cycle]]-(Table1[[#This Row],[E Capacitor]]+Table1[[#This Row],[Edc]])</f>
        <v>0</v>
      </c>
    </row>
    <row r="197" spans="1:13" x14ac:dyDescent="0.25">
      <c r="A197">
        <v>0.95499999999999996</v>
      </c>
      <c r="B197">
        <f t="shared" si="10"/>
        <v>28.076999999999998</v>
      </c>
      <c r="C197">
        <f t="shared" si="11"/>
        <v>1.0528875000000002</v>
      </c>
      <c r="D197">
        <f>Irms-Table1[[#This Row],[Ripple Current (A)]]</f>
        <v>28.947112499999999</v>
      </c>
      <c r="E197">
        <f>Irms+Table1[[#This Row],[Ripple Current (A)]]</f>
        <v>31.052887500000001</v>
      </c>
      <c r="F197">
        <f>Table1[[#This Row],[Vout]]*(Table1[[#This Row],[Imin]]+Table1[[#This Row],[Ripple Current (A)]])</f>
        <v>842.31</v>
      </c>
      <c r="G197" s="1">
        <f>Table1[[#This Row],[Pout]]/Frequency</f>
        <v>8.4231E-2</v>
      </c>
      <c r="H197" s="1">
        <f>Table1[[#This Row],[Duty]]/Frequency</f>
        <v>9.549999999999999E-5</v>
      </c>
      <c r="I197" s="1">
        <f>Table1[[#This Row],[Pout]]/Vin</f>
        <v>28.65</v>
      </c>
      <c r="J197" s="1">
        <f>Vin*Table1[[#This Row],[Idc]]*Table1[[#This Row],[Time On]]</f>
        <v>8.0440604999999984E-2</v>
      </c>
      <c r="K197" s="1">
        <f>Table1[[#This Row],[Energy/Cycle]]-Table1[[#This Row],[Edc]]</f>
        <v>3.7903950000000158E-3</v>
      </c>
      <c r="L197" s="1">
        <f>2*Table1[[#This Row],[E Capacitor]]/(Vin^2-(Vin-V_ripple)^2)</f>
        <v>2.600614065180116E-4</v>
      </c>
      <c r="M197" s="1">
        <f>Table1[[#This Row],[Energy/Cycle]]-(Table1[[#This Row],[E Capacitor]]+Table1[[#This Row],[Edc]])</f>
        <v>0</v>
      </c>
    </row>
    <row r="198" spans="1:13" x14ac:dyDescent="0.25">
      <c r="A198">
        <v>0.96</v>
      </c>
      <c r="B198">
        <f t="shared" si="10"/>
        <v>28.223999999999997</v>
      </c>
      <c r="C198">
        <f t="shared" si="11"/>
        <v>0.94080000000000152</v>
      </c>
      <c r="D198">
        <f>Irms-Table1[[#This Row],[Ripple Current (A)]]</f>
        <v>29.059199999999997</v>
      </c>
      <c r="E198">
        <f>Irms+Table1[[#This Row],[Ripple Current (A)]]</f>
        <v>30.940800000000003</v>
      </c>
      <c r="F198">
        <f>Table1[[#This Row],[Vout]]*(Table1[[#This Row],[Imin]]+Table1[[#This Row],[Ripple Current (A)]])</f>
        <v>846.71999999999991</v>
      </c>
      <c r="G198" s="1">
        <f>Table1[[#This Row],[Pout]]/Frequency</f>
        <v>8.4671999999999997E-2</v>
      </c>
      <c r="H198" s="1">
        <f>Table1[[#This Row],[Duty]]/Frequency</f>
        <v>9.6000000000000002E-5</v>
      </c>
      <c r="I198" s="1">
        <f>Table1[[#This Row],[Pout]]/Vin</f>
        <v>28.799999999999997</v>
      </c>
      <c r="J198" s="1">
        <f>Vin*Table1[[#This Row],[Idc]]*Table1[[#This Row],[Time On]]</f>
        <v>8.1285119999999988E-2</v>
      </c>
      <c r="K198" s="1">
        <f>Table1[[#This Row],[Energy/Cycle]]-Table1[[#This Row],[Edc]]</f>
        <v>3.3868800000000088E-3</v>
      </c>
      <c r="L198" s="1">
        <f>2*Table1[[#This Row],[E Capacitor]]/(Vin^2-(Vin-V_ripple)^2)</f>
        <v>2.3237598627787385E-4</v>
      </c>
      <c r="M198" s="1">
        <f>Table1[[#This Row],[Energy/Cycle]]-(Table1[[#This Row],[E Capacitor]]+Table1[[#This Row],[Edc]])</f>
        <v>0</v>
      </c>
    </row>
    <row r="199" spans="1:13" x14ac:dyDescent="0.25">
      <c r="A199">
        <v>0.96499999999999997</v>
      </c>
      <c r="B199">
        <f t="shared" ref="B199:B206" si="12">A199*Vin</f>
        <v>28.370999999999999</v>
      </c>
      <c r="C199">
        <f t="shared" ref="C199:C206" si="13">(Vin-B199)*A199/(Frequency*Inductance)</f>
        <v>0.82748749999999993</v>
      </c>
      <c r="D199">
        <f>Irms-Table1[[#This Row],[Ripple Current (A)]]</f>
        <v>29.1725125</v>
      </c>
      <c r="E199">
        <f>Irms+Table1[[#This Row],[Ripple Current (A)]]</f>
        <v>30.8274875</v>
      </c>
      <c r="F199">
        <f>Table1[[#This Row],[Vout]]*(Table1[[#This Row],[Imin]]+Table1[[#This Row],[Ripple Current (A)]])</f>
        <v>851.13</v>
      </c>
      <c r="G199" s="1">
        <f>Table1[[#This Row],[Pout]]/Frequency</f>
        <v>8.5112999999999994E-2</v>
      </c>
      <c r="H199" s="1">
        <f>Table1[[#This Row],[Duty]]/Frequency</f>
        <v>9.6500000000000001E-5</v>
      </c>
      <c r="I199" s="1">
        <f>Table1[[#This Row],[Pout]]/Vin</f>
        <v>28.950000000000003</v>
      </c>
      <c r="J199" s="1">
        <f>Vin*Table1[[#This Row],[Idc]]*Table1[[#This Row],[Time On]]</f>
        <v>8.2134045000000003E-2</v>
      </c>
      <c r="K199" s="1">
        <f>Table1[[#This Row],[Energy/Cycle]]-Table1[[#This Row],[Edc]]</f>
        <v>2.9789549999999915E-3</v>
      </c>
      <c r="L199" s="1">
        <f>2*Table1[[#This Row],[E Capacitor]]/(Vin^2-(Vin-V_ripple)^2)</f>
        <v>2.043879931389361E-4</v>
      </c>
      <c r="M199" s="1">
        <f>Table1[[#This Row],[Energy/Cycle]]-(Table1[[#This Row],[E Capacitor]]+Table1[[#This Row],[Edc]])</f>
        <v>0</v>
      </c>
    </row>
    <row r="200" spans="1:13" x14ac:dyDescent="0.25">
      <c r="A200">
        <v>0.97</v>
      </c>
      <c r="B200">
        <f t="shared" si="12"/>
        <v>28.517999999999997</v>
      </c>
      <c r="C200">
        <f t="shared" si="13"/>
        <v>0.71295000000000119</v>
      </c>
      <c r="D200">
        <f>Irms-Table1[[#This Row],[Ripple Current (A)]]</f>
        <v>29.287049999999997</v>
      </c>
      <c r="E200">
        <f>Irms+Table1[[#This Row],[Ripple Current (A)]]</f>
        <v>30.712950000000003</v>
      </c>
      <c r="F200">
        <f>Table1[[#This Row],[Vout]]*(Table1[[#This Row],[Imin]]+Table1[[#This Row],[Ripple Current (A)]])</f>
        <v>855.54</v>
      </c>
      <c r="G200" s="1">
        <f>Table1[[#This Row],[Pout]]/Frequency</f>
        <v>8.5553999999999991E-2</v>
      </c>
      <c r="H200" s="1">
        <f>Table1[[#This Row],[Duty]]/Frequency</f>
        <v>9.7E-5</v>
      </c>
      <c r="I200" s="1">
        <f>Table1[[#This Row],[Pout]]/Vin</f>
        <v>29.1</v>
      </c>
      <c r="J200" s="1">
        <f>Vin*Table1[[#This Row],[Idc]]*Table1[[#This Row],[Time On]]</f>
        <v>8.2987379999999999E-2</v>
      </c>
      <c r="K200" s="1">
        <f>Table1[[#This Row],[Energy/Cycle]]-Table1[[#This Row],[Edc]]</f>
        <v>2.5666199999999917E-3</v>
      </c>
      <c r="L200" s="1">
        <f>2*Table1[[#This Row],[E Capacitor]]/(Vin^2-(Vin-V_ripple)^2)</f>
        <v>1.7609742710120025E-4</v>
      </c>
      <c r="M200" s="1">
        <f>Table1[[#This Row],[Energy/Cycle]]-(Table1[[#This Row],[E Capacitor]]+Table1[[#This Row],[Edc]])</f>
        <v>0</v>
      </c>
    </row>
    <row r="201" spans="1:13" x14ac:dyDescent="0.25">
      <c r="A201">
        <v>0.97499999999999998</v>
      </c>
      <c r="B201">
        <f t="shared" si="12"/>
        <v>28.664999999999999</v>
      </c>
      <c r="C201">
        <f t="shared" si="13"/>
        <v>0.59718749999999954</v>
      </c>
      <c r="D201">
        <f>Irms-Table1[[#This Row],[Ripple Current (A)]]</f>
        <v>29.4028125</v>
      </c>
      <c r="E201">
        <f>Irms+Table1[[#This Row],[Ripple Current (A)]]</f>
        <v>30.5971875</v>
      </c>
      <c r="F201">
        <f>Table1[[#This Row],[Vout]]*(Table1[[#This Row],[Imin]]+Table1[[#This Row],[Ripple Current (A)]])</f>
        <v>859.94999999999993</v>
      </c>
      <c r="G201" s="1">
        <f>Table1[[#This Row],[Pout]]/Frequency</f>
        <v>8.5994999999999988E-2</v>
      </c>
      <c r="H201" s="1">
        <f>Table1[[#This Row],[Duty]]/Frequency</f>
        <v>9.7499999999999998E-5</v>
      </c>
      <c r="I201" s="1">
        <f>Table1[[#This Row],[Pout]]/Vin</f>
        <v>29.25</v>
      </c>
      <c r="J201" s="1">
        <f>Vin*Table1[[#This Row],[Idc]]*Table1[[#This Row],[Time On]]</f>
        <v>8.3845124999999993E-2</v>
      </c>
      <c r="K201" s="1">
        <f>Table1[[#This Row],[Energy/Cycle]]-Table1[[#This Row],[Edc]]</f>
        <v>2.1498749999999955E-3</v>
      </c>
      <c r="L201" s="1">
        <f>2*Table1[[#This Row],[E Capacitor]]/(Vin^2-(Vin-V_ripple)^2)</f>
        <v>1.4750428816466532E-4</v>
      </c>
      <c r="M201" s="1">
        <f>Table1[[#This Row],[Energy/Cycle]]-(Table1[[#This Row],[E Capacitor]]+Table1[[#This Row],[Edc]])</f>
        <v>0</v>
      </c>
    </row>
    <row r="202" spans="1:13" x14ac:dyDescent="0.25">
      <c r="A202">
        <v>0.98</v>
      </c>
      <c r="B202">
        <f t="shared" si="12"/>
        <v>28.811999999999998</v>
      </c>
      <c r="C202">
        <f t="shared" si="13"/>
        <v>0.48020000000000085</v>
      </c>
      <c r="D202">
        <f>Irms-Table1[[#This Row],[Ripple Current (A)]]</f>
        <v>29.5198</v>
      </c>
      <c r="E202">
        <f>Irms+Table1[[#This Row],[Ripple Current (A)]]</f>
        <v>30.4802</v>
      </c>
      <c r="F202">
        <f>Table1[[#This Row],[Vout]]*(Table1[[#This Row],[Imin]]+Table1[[#This Row],[Ripple Current (A)]])</f>
        <v>864.3599999999999</v>
      </c>
      <c r="G202" s="1">
        <f>Table1[[#This Row],[Pout]]/Frequency</f>
        <v>8.6435999999999985E-2</v>
      </c>
      <c r="H202" s="1">
        <f>Table1[[#This Row],[Duty]]/Frequency</f>
        <v>9.7999999999999997E-5</v>
      </c>
      <c r="I202" s="1">
        <f>Table1[[#This Row],[Pout]]/Vin</f>
        <v>29.4</v>
      </c>
      <c r="J202" s="1">
        <f>Vin*Table1[[#This Row],[Idc]]*Table1[[#This Row],[Time On]]</f>
        <v>8.4707279999999982E-2</v>
      </c>
      <c r="K202" s="1">
        <f>Table1[[#This Row],[Energy/Cycle]]-Table1[[#This Row],[Edc]]</f>
        <v>1.728720000000003E-3</v>
      </c>
      <c r="L202" s="1">
        <f>2*Table1[[#This Row],[E Capacitor]]/(Vin^2-(Vin-V_ripple)^2)</f>
        <v>1.1860857632933135E-4</v>
      </c>
      <c r="M202" s="1">
        <f>Table1[[#This Row],[Energy/Cycle]]-(Table1[[#This Row],[E Capacitor]]+Table1[[#This Row],[Edc]])</f>
        <v>0</v>
      </c>
    </row>
    <row r="203" spans="1:13" x14ac:dyDescent="0.25">
      <c r="A203">
        <v>0.98499999999999999</v>
      </c>
      <c r="B203">
        <f t="shared" si="12"/>
        <v>28.959</v>
      </c>
      <c r="C203">
        <f t="shared" si="13"/>
        <v>0.36198749999999913</v>
      </c>
      <c r="D203">
        <f>Irms-Table1[[#This Row],[Ripple Current (A)]]</f>
        <v>29.638012500000002</v>
      </c>
      <c r="E203">
        <f>Irms+Table1[[#This Row],[Ripple Current (A)]]</f>
        <v>30.361987499999998</v>
      </c>
      <c r="F203">
        <f>Table1[[#This Row],[Vout]]*(Table1[[#This Row],[Imin]]+Table1[[#This Row],[Ripple Current (A)]])</f>
        <v>868.77</v>
      </c>
      <c r="G203" s="1">
        <f>Table1[[#This Row],[Pout]]/Frequency</f>
        <v>8.6876999999999996E-2</v>
      </c>
      <c r="H203" s="1">
        <f>Table1[[#This Row],[Duty]]/Frequency</f>
        <v>9.8499999999999995E-5</v>
      </c>
      <c r="I203" s="1">
        <f>Table1[[#This Row],[Pout]]/Vin</f>
        <v>29.55</v>
      </c>
      <c r="J203" s="1">
        <f>Vin*Table1[[#This Row],[Idc]]*Table1[[#This Row],[Time On]]</f>
        <v>8.5573844999999996E-2</v>
      </c>
      <c r="K203" s="1">
        <f>Table1[[#This Row],[Energy/Cycle]]-Table1[[#This Row],[Edc]]</f>
        <v>1.3031550000000003E-3</v>
      </c>
      <c r="L203" s="1">
        <f>2*Table1[[#This Row],[E Capacitor]]/(Vin^2-(Vin-V_ripple)^2)</f>
        <v>8.9410291595197342E-5</v>
      </c>
      <c r="M203" s="1">
        <f>Table1[[#This Row],[Energy/Cycle]]-(Table1[[#This Row],[E Capacitor]]+Table1[[#This Row],[Edc]])</f>
        <v>0</v>
      </c>
    </row>
    <row r="204" spans="1:13" x14ac:dyDescent="0.25">
      <c r="A204">
        <v>0.99</v>
      </c>
      <c r="B204">
        <f t="shared" si="12"/>
        <v>29.105999999999998</v>
      </c>
      <c r="C204">
        <f t="shared" si="13"/>
        <v>0.2425500000000004</v>
      </c>
      <c r="D204">
        <f>Irms-Table1[[#This Row],[Ripple Current (A)]]</f>
        <v>29.757449999999999</v>
      </c>
      <c r="E204">
        <f>Irms+Table1[[#This Row],[Ripple Current (A)]]</f>
        <v>30.242550000000001</v>
      </c>
      <c r="F204">
        <f>Table1[[#This Row],[Vout]]*(Table1[[#This Row],[Imin]]+Table1[[#This Row],[Ripple Current (A)]])</f>
        <v>873.18</v>
      </c>
      <c r="G204" s="1">
        <f>Table1[[#This Row],[Pout]]/Frequency</f>
        <v>8.7317999999999993E-2</v>
      </c>
      <c r="H204" s="1">
        <f>Table1[[#This Row],[Duty]]/Frequency</f>
        <v>9.8999999999999994E-5</v>
      </c>
      <c r="I204" s="1">
        <f>Table1[[#This Row],[Pout]]/Vin</f>
        <v>29.7</v>
      </c>
      <c r="J204" s="1">
        <f>Vin*Table1[[#This Row],[Idc]]*Table1[[#This Row],[Time On]]</f>
        <v>8.6444819999999992E-2</v>
      </c>
      <c r="K204" s="1">
        <f>Table1[[#This Row],[Energy/Cycle]]-Table1[[#This Row],[Edc]]</f>
        <v>8.7318000000000118E-4</v>
      </c>
      <c r="L204" s="1">
        <f>2*Table1[[#This Row],[E Capacitor]]/(Vin^2-(Vin-V_ripple)^2)</f>
        <v>5.9909433962264281E-5</v>
      </c>
      <c r="M204" s="1">
        <f>Table1[[#This Row],[Energy/Cycle]]-(Table1[[#This Row],[E Capacitor]]+Table1[[#This Row],[Edc]])</f>
        <v>0</v>
      </c>
    </row>
    <row r="205" spans="1:13" x14ac:dyDescent="0.25">
      <c r="A205">
        <v>0.995</v>
      </c>
      <c r="B205">
        <f t="shared" si="12"/>
        <v>29.253</v>
      </c>
      <c r="C205">
        <f t="shared" si="13"/>
        <v>0.12188749999999873</v>
      </c>
      <c r="D205">
        <f>Irms-Table1[[#This Row],[Ripple Current (A)]]</f>
        <v>29.8781125</v>
      </c>
      <c r="E205">
        <f>Irms+Table1[[#This Row],[Ripple Current (A)]]</f>
        <v>30.1218875</v>
      </c>
      <c r="F205">
        <f>Table1[[#This Row],[Vout]]*(Table1[[#This Row],[Imin]]+Table1[[#This Row],[Ripple Current (A)]])</f>
        <v>877.59</v>
      </c>
      <c r="G205" s="1">
        <f>Table1[[#This Row],[Pout]]/Frequency</f>
        <v>8.7759000000000004E-2</v>
      </c>
      <c r="H205" s="1">
        <f>Table1[[#This Row],[Duty]]/Frequency</f>
        <v>9.9500000000000006E-5</v>
      </c>
      <c r="I205" s="1">
        <f>Table1[[#This Row],[Pout]]/Vin</f>
        <v>29.85</v>
      </c>
      <c r="J205" s="1">
        <f>Vin*Table1[[#This Row],[Idc]]*Table1[[#This Row],[Time On]]</f>
        <v>8.7320205000000012E-2</v>
      </c>
      <c r="K205" s="1">
        <f>Table1[[#This Row],[Energy/Cycle]]-Table1[[#This Row],[Edc]]</f>
        <v>4.3879499999999183E-4</v>
      </c>
      <c r="L205" s="1">
        <f>2*Table1[[#This Row],[E Capacitor]]/(Vin^2-(Vin-V_ripple)^2)</f>
        <v>3.0106003430531195E-5</v>
      </c>
      <c r="M205" s="1">
        <f>Table1[[#This Row],[Energy/Cycle]]-(Table1[[#This Row],[E Capacitor]]+Table1[[#This Row],[Edc]])</f>
        <v>0</v>
      </c>
    </row>
    <row r="206" spans="1:13" x14ac:dyDescent="0.25">
      <c r="A206">
        <v>1</v>
      </c>
      <c r="B206">
        <f t="shared" si="12"/>
        <v>29.4</v>
      </c>
      <c r="C206">
        <f t="shared" si="13"/>
        <v>0</v>
      </c>
      <c r="D206">
        <f>Irms-Table1[[#This Row],[Ripple Current (A)]]</f>
        <v>30</v>
      </c>
      <c r="E206">
        <f>Irms+Table1[[#This Row],[Ripple Current (A)]]</f>
        <v>30</v>
      </c>
      <c r="F206">
        <f>Table1[[#This Row],[Vout]]*(Table1[[#This Row],[Imin]]+Table1[[#This Row],[Ripple Current (A)]])</f>
        <v>882</v>
      </c>
      <c r="G206" s="1">
        <f>Table1[[#This Row],[Pout]]/Frequency</f>
        <v>8.8200000000000001E-2</v>
      </c>
      <c r="H206" s="1">
        <f>Table1[[#This Row],[Duty]]/Frequency</f>
        <v>1E-4</v>
      </c>
      <c r="I206" s="1">
        <f>Table1[[#This Row],[Pout]]/Vin</f>
        <v>30</v>
      </c>
      <c r="J206" s="1">
        <f>Vin*Table1[[#This Row],[Idc]]*Table1[[#This Row],[Time On]]</f>
        <v>8.8200000000000001E-2</v>
      </c>
      <c r="K206" s="1">
        <f>Table1[[#This Row],[Energy/Cycle]]-Table1[[#This Row],[Edc]]</f>
        <v>0</v>
      </c>
      <c r="L206" s="1">
        <f>2*Table1[[#This Row],[E Capacitor]]/(Vin^2-(Vin-V_ripple)^2)</f>
        <v>0</v>
      </c>
      <c r="M206" s="1">
        <f>Table1[[#This Row],[Energy/Cycle]]-(Table1[[#This Row],[E Capacitor]]+Table1[[#This Row],[Edc]])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Frequency</vt:lpstr>
      <vt:lpstr>Inductance</vt:lpstr>
      <vt:lpstr>Irms</vt:lpstr>
      <vt:lpstr>V_ripple</vt:lpstr>
      <vt:lpstr>Vin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2025-12-07T13:11:06Z</dcterms:created>
  <dcterms:modified xsi:type="dcterms:W3CDTF">2025-12-09T14:32:16Z</dcterms:modified>
</cp:coreProperties>
</file>