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or\Documents\College\Masters\Thesis\GeecPE2526\Investigations\"/>
    </mc:Choice>
  </mc:AlternateContent>
  <xr:revisionPtr revIDLastSave="0" documentId="13_ncr:1_{DE930B99-9F19-4046-8CA9-C4C03C7EFB2E}" xr6:coauthVersionLast="47" xr6:coauthVersionMax="47" xr10:uidLastSave="{00000000-0000-0000-0000-000000000000}"/>
  <bookViews>
    <workbookView xWindow="-120" yWindow="-120" windowWidth="29040" windowHeight="15720" xr2:uid="{DD2C5146-D620-44A2-ADAA-3C1546CCD2D9}"/>
  </bookViews>
  <sheets>
    <sheet name="Sheet1" sheetId="1" r:id="rId1"/>
    <sheet name="Capacitor Input Current" sheetId="2" r:id="rId2"/>
  </sheets>
  <definedNames>
    <definedName name="Frequency">Sheet1!$B$1</definedName>
    <definedName name="Inductance">Sheet1!$B$2</definedName>
    <definedName name="Irms">Sheet1!$B$4</definedName>
    <definedName name="V_ripple">Sheet1!$B$5</definedName>
    <definedName name="Vin">Sheet1!$B$3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E3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D22" i="1" s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D46" i="1" s="1"/>
  <c r="B47" i="1"/>
  <c r="B48" i="1"/>
  <c r="B49" i="1"/>
  <c r="B50" i="1"/>
  <c r="B51" i="1"/>
  <c r="B52" i="1"/>
  <c r="B53" i="1"/>
  <c r="B54" i="1"/>
  <c r="B55" i="1"/>
  <c r="B56" i="1"/>
  <c r="B57" i="1"/>
  <c r="B58" i="1"/>
  <c r="D58" i="1" s="1"/>
  <c r="B59" i="1"/>
  <c r="B60" i="1"/>
  <c r="B61" i="1"/>
  <c r="B62" i="1"/>
  <c r="B63" i="1"/>
  <c r="B64" i="1"/>
  <c r="B65" i="1"/>
  <c r="B66" i="1"/>
  <c r="B67" i="1"/>
  <c r="B68" i="1"/>
  <c r="B69" i="1"/>
  <c r="B70" i="1"/>
  <c r="D70" i="1" s="1"/>
  <c r="B71" i="1"/>
  <c r="B72" i="1"/>
  <c r="B73" i="1"/>
  <c r="B74" i="1"/>
  <c r="B75" i="1"/>
  <c r="B76" i="1"/>
  <c r="B77" i="1"/>
  <c r="B78" i="1"/>
  <c r="B79" i="1"/>
  <c r="B80" i="1"/>
  <c r="B81" i="1"/>
  <c r="B82" i="1"/>
  <c r="D82" i="1" s="1"/>
  <c r="B83" i="1"/>
  <c r="B84" i="1"/>
  <c r="B85" i="1"/>
  <c r="B86" i="1"/>
  <c r="B87" i="1"/>
  <c r="B88" i="1"/>
  <c r="B89" i="1"/>
  <c r="B90" i="1"/>
  <c r="B91" i="1"/>
  <c r="B92" i="1"/>
  <c r="B93" i="1"/>
  <c r="B94" i="1"/>
  <c r="D94" i="1" s="1"/>
  <c r="B95" i="1"/>
  <c r="B96" i="1"/>
  <c r="B97" i="1"/>
  <c r="B98" i="1"/>
  <c r="B99" i="1"/>
  <c r="B100" i="1"/>
  <c r="B101" i="1"/>
  <c r="B102" i="1"/>
  <c r="B103" i="1"/>
  <c r="B104" i="1"/>
  <c r="B105" i="1"/>
  <c r="B106" i="1"/>
  <c r="D106" i="1" s="1"/>
  <c r="B107" i="1"/>
  <c r="B108" i="1"/>
  <c r="B109" i="1"/>
  <c r="B110" i="1"/>
  <c r="B111" i="1"/>
  <c r="B112" i="1"/>
  <c r="B113" i="1"/>
  <c r="B114" i="1"/>
  <c r="B115" i="1"/>
  <c r="B116" i="1"/>
  <c r="B117" i="1"/>
  <c r="B118" i="1"/>
  <c r="D118" i="1" s="1"/>
  <c r="B119" i="1"/>
  <c r="B120" i="1"/>
  <c r="B121" i="1"/>
  <c r="B122" i="1"/>
  <c r="B123" i="1"/>
  <c r="B124" i="1"/>
  <c r="B125" i="1"/>
  <c r="B126" i="1"/>
  <c r="B127" i="1"/>
  <c r="B128" i="1"/>
  <c r="B129" i="1"/>
  <c r="B130" i="1"/>
  <c r="D130" i="1" s="1"/>
  <c r="B131" i="1"/>
  <c r="B132" i="1"/>
  <c r="B133" i="1"/>
  <c r="B134" i="1"/>
  <c r="B135" i="1"/>
  <c r="B136" i="1"/>
  <c r="B137" i="1"/>
  <c r="B138" i="1"/>
  <c r="B139" i="1"/>
  <c r="B140" i="1"/>
  <c r="B141" i="1"/>
  <c r="B142" i="1"/>
  <c r="D142" i="1" s="1"/>
  <c r="B143" i="1"/>
  <c r="B144" i="1"/>
  <c r="B145" i="1"/>
  <c r="B146" i="1"/>
  <c r="B147" i="1"/>
  <c r="B148" i="1"/>
  <c r="B149" i="1"/>
  <c r="B150" i="1"/>
  <c r="B151" i="1"/>
  <c r="B152" i="1"/>
  <c r="B153" i="1"/>
  <c r="B154" i="1"/>
  <c r="D154" i="1" s="1"/>
  <c r="B155" i="1"/>
  <c r="B156" i="1"/>
  <c r="B157" i="1"/>
  <c r="B158" i="1"/>
  <c r="B159" i="1"/>
  <c r="B160" i="1"/>
  <c r="B161" i="1"/>
  <c r="B162" i="1"/>
  <c r="B163" i="1"/>
  <c r="B164" i="1"/>
  <c r="B165" i="1"/>
  <c r="B166" i="1"/>
  <c r="D166" i="1" s="1"/>
  <c r="B167" i="1"/>
  <c r="B168" i="1"/>
  <c r="B169" i="1"/>
  <c r="B170" i="1"/>
  <c r="B171" i="1"/>
  <c r="B172" i="1"/>
  <c r="B173" i="1"/>
  <c r="B174" i="1"/>
  <c r="B175" i="1"/>
  <c r="B176" i="1"/>
  <c r="B177" i="1"/>
  <c r="B178" i="1"/>
  <c r="D178" i="1" s="1"/>
  <c r="B179" i="1"/>
  <c r="B180" i="1"/>
  <c r="B181" i="1"/>
  <c r="B182" i="1"/>
  <c r="B183" i="1"/>
  <c r="B184" i="1"/>
  <c r="B185" i="1"/>
  <c r="B186" i="1"/>
  <c r="B187" i="1"/>
  <c r="B188" i="1"/>
  <c r="B189" i="1"/>
  <c r="B190" i="1"/>
  <c r="D190" i="1" s="1"/>
  <c r="B191" i="1"/>
  <c r="B192" i="1"/>
  <c r="B193" i="1"/>
  <c r="B194" i="1"/>
  <c r="B195" i="1"/>
  <c r="B196" i="1"/>
  <c r="B197" i="1"/>
  <c r="B198" i="1"/>
  <c r="B199" i="1"/>
  <c r="B200" i="1"/>
  <c r="B201" i="1"/>
  <c r="B202" i="1"/>
  <c r="D202" i="1" s="1"/>
  <c r="B203" i="1"/>
  <c r="B204" i="1"/>
  <c r="B205" i="1"/>
  <c r="B206" i="1"/>
  <c r="B7" i="1"/>
  <c r="D10" i="1" l="1"/>
  <c r="D34" i="1"/>
  <c r="D189" i="1"/>
  <c r="D177" i="1"/>
  <c r="D141" i="1"/>
  <c r="D117" i="1"/>
  <c r="D105" i="1"/>
  <c r="F105" i="1" s="1"/>
  <c r="D93" i="1"/>
  <c r="F93" i="1" s="1"/>
  <c r="D81" i="1"/>
  <c r="F81" i="1" s="1"/>
  <c r="D69" i="1"/>
  <c r="F69" i="1" s="1"/>
  <c r="D57" i="1"/>
  <c r="F57" i="1" s="1"/>
  <c r="D45" i="1"/>
  <c r="F45" i="1" s="1"/>
  <c r="D33" i="1"/>
  <c r="F33" i="1" s="1"/>
  <c r="D21" i="1"/>
  <c r="F21" i="1" s="1"/>
  <c r="D9" i="1"/>
  <c r="F9" i="1" s="1"/>
  <c r="D153" i="1"/>
  <c r="D201" i="1"/>
  <c r="F201" i="1" s="1"/>
  <c r="D165" i="1"/>
  <c r="F165" i="1" s="1"/>
  <c r="D129" i="1"/>
  <c r="D200" i="1"/>
  <c r="F200" i="1" s="1"/>
  <c r="D176" i="1"/>
  <c r="F176" i="1" s="1"/>
  <c r="D128" i="1"/>
  <c r="F128" i="1" s="1"/>
  <c r="D92" i="1"/>
  <c r="F92" i="1" s="1"/>
  <c r="D68" i="1"/>
  <c r="F68" i="1" s="1"/>
  <c r="D56" i="1"/>
  <c r="F56" i="1" s="1"/>
  <c r="D8" i="1"/>
  <c r="F8" i="1" s="1"/>
  <c r="D164" i="1"/>
  <c r="F164" i="1" s="1"/>
  <c r="D116" i="1"/>
  <c r="F116" i="1" s="1"/>
  <c r="D32" i="1"/>
  <c r="F32" i="1" s="1"/>
  <c r="D188" i="1"/>
  <c r="F188" i="1" s="1"/>
  <c r="D152" i="1"/>
  <c r="F152" i="1" s="1"/>
  <c r="D140" i="1"/>
  <c r="F140" i="1" s="1"/>
  <c r="D104" i="1"/>
  <c r="F104" i="1" s="1"/>
  <c r="D80" i="1"/>
  <c r="F80" i="1" s="1"/>
  <c r="D44" i="1"/>
  <c r="F44" i="1" s="1"/>
  <c r="D20" i="1"/>
  <c r="F20" i="1" s="1"/>
  <c r="D181" i="1"/>
  <c r="F181" i="1" s="1"/>
  <c r="E157" i="1"/>
  <c r="D121" i="1"/>
  <c r="F121" i="1" s="1"/>
  <c r="D85" i="1"/>
  <c r="F85" i="1" s="1"/>
  <c r="D193" i="1"/>
  <c r="F193" i="1" s="1"/>
  <c r="E145" i="1"/>
  <c r="E97" i="1"/>
  <c r="D205" i="1"/>
  <c r="F205" i="1" s="1"/>
  <c r="D169" i="1"/>
  <c r="F169" i="1" s="1"/>
  <c r="D133" i="1"/>
  <c r="F133" i="1" s="1"/>
  <c r="D109" i="1"/>
  <c r="F109" i="1" s="1"/>
  <c r="D187" i="1"/>
  <c r="F187" i="1" s="1"/>
  <c r="D151" i="1"/>
  <c r="F151" i="1" s="1"/>
  <c r="D127" i="1"/>
  <c r="F127" i="1" s="1"/>
  <c r="D103" i="1"/>
  <c r="F103" i="1" s="1"/>
  <c r="D79" i="1"/>
  <c r="F79" i="1" s="1"/>
  <c r="D67" i="1"/>
  <c r="F67" i="1" s="1"/>
  <c r="D43" i="1"/>
  <c r="F43" i="1" s="1"/>
  <c r="D199" i="1"/>
  <c r="F199" i="1" s="1"/>
  <c r="D175" i="1"/>
  <c r="F175" i="1" s="1"/>
  <c r="D163" i="1"/>
  <c r="F163" i="1" s="1"/>
  <c r="D139" i="1"/>
  <c r="F139" i="1" s="1"/>
  <c r="D115" i="1"/>
  <c r="F115" i="1" s="1"/>
  <c r="D91" i="1"/>
  <c r="F91" i="1" s="1"/>
  <c r="D55" i="1"/>
  <c r="F55" i="1" s="1"/>
  <c r="D19" i="1"/>
  <c r="F19" i="1" s="1"/>
  <c r="D31" i="1"/>
  <c r="F31" i="1" s="1"/>
  <c r="D198" i="1"/>
  <c r="D150" i="1"/>
  <c r="F150" i="1" s="1"/>
  <c r="D102" i="1"/>
  <c r="F102" i="1" s="1"/>
  <c r="D66" i="1"/>
  <c r="F66" i="1" s="1"/>
  <c r="D54" i="1"/>
  <c r="F54" i="1" s="1"/>
  <c r="D18" i="1"/>
  <c r="F18" i="1" s="1"/>
  <c r="D186" i="1"/>
  <c r="F186" i="1" s="1"/>
  <c r="D138" i="1"/>
  <c r="F138" i="1" s="1"/>
  <c r="D114" i="1"/>
  <c r="F114" i="1" s="1"/>
  <c r="D42" i="1"/>
  <c r="F42" i="1" s="1"/>
  <c r="D162" i="1"/>
  <c r="F162" i="1" s="1"/>
  <c r="D90" i="1"/>
  <c r="F90" i="1" s="1"/>
  <c r="D197" i="1"/>
  <c r="F197" i="1" s="1"/>
  <c r="D174" i="1"/>
  <c r="F174" i="1" s="1"/>
  <c r="D126" i="1"/>
  <c r="F126" i="1" s="1"/>
  <c r="D78" i="1"/>
  <c r="F78" i="1" s="1"/>
  <c r="D30" i="1"/>
  <c r="F30" i="1" s="1"/>
  <c r="E161" i="1"/>
  <c r="D125" i="1"/>
  <c r="D65" i="1"/>
  <c r="D41" i="1"/>
  <c r="E17" i="1"/>
  <c r="D184" i="1"/>
  <c r="D148" i="1"/>
  <c r="F148" i="1" s="1"/>
  <c r="D124" i="1"/>
  <c r="D100" i="1"/>
  <c r="D64" i="1"/>
  <c r="D28" i="1"/>
  <c r="D173" i="1"/>
  <c r="D77" i="1"/>
  <c r="F77" i="1" s="1"/>
  <c r="D53" i="1"/>
  <c r="D29" i="1"/>
  <c r="D196" i="1"/>
  <c r="D172" i="1"/>
  <c r="E160" i="1"/>
  <c r="D136" i="1"/>
  <c r="D112" i="1"/>
  <c r="E88" i="1"/>
  <c r="D76" i="1"/>
  <c r="D52" i="1"/>
  <c r="F52" i="1" s="1"/>
  <c r="D40" i="1"/>
  <c r="D185" i="1"/>
  <c r="D149" i="1"/>
  <c r="D101" i="1"/>
  <c r="D206" i="1"/>
  <c r="D194" i="1"/>
  <c r="D182" i="1"/>
  <c r="D170" i="1"/>
  <c r="E158" i="1"/>
  <c r="D146" i="1"/>
  <c r="D134" i="1"/>
  <c r="D122" i="1"/>
  <c r="D98" i="1"/>
  <c r="D86" i="1"/>
  <c r="D74" i="1"/>
  <c r="D62" i="1"/>
  <c r="D50" i="1"/>
  <c r="D26" i="1"/>
  <c r="D14" i="1"/>
  <c r="D13" i="1"/>
  <c r="E73" i="1"/>
  <c r="D49" i="1"/>
  <c r="F49" i="1" s="1"/>
  <c r="E25" i="1"/>
  <c r="D204" i="1"/>
  <c r="F204" i="1" s="1"/>
  <c r="D192" i="1"/>
  <c r="F192" i="1" s="1"/>
  <c r="D180" i="1"/>
  <c r="D168" i="1"/>
  <c r="D156" i="1"/>
  <c r="E144" i="1"/>
  <c r="D132" i="1"/>
  <c r="D120" i="1"/>
  <c r="D108" i="1"/>
  <c r="E96" i="1"/>
  <c r="D84" i="1"/>
  <c r="D72" i="1"/>
  <c r="D60" i="1"/>
  <c r="F60" i="1" s="1"/>
  <c r="D48" i="1"/>
  <c r="D36" i="1"/>
  <c r="D24" i="1"/>
  <c r="D12" i="1"/>
  <c r="E61" i="1"/>
  <c r="E37" i="1"/>
  <c r="D203" i="1"/>
  <c r="D191" i="1"/>
  <c r="D179" i="1"/>
  <c r="D167" i="1"/>
  <c r="D155" i="1"/>
  <c r="F155" i="1" s="1"/>
  <c r="D143" i="1"/>
  <c r="F143" i="1" s="1"/>
  <c r="D131" i="1"/>
  <c r="D119" i="1"/>
  <c r="D107" i="1"/>
  <c r="D95" i="1"/>
  <c r="D83" i="1"/>
  <c r="D71" i="1"/>
  <c r="D59" i="1"/>
  <c r="D47" i="1"/>
  <c r="D35" i="1"/>
  <c r="D23" i="1"/>
  <c r="D11" i="1"/>
  <c r="D7" i="1"/>
  <c r="F7" i="1" s="1"/>
  <c r="D195" i="1"/>
  <c r="D183" i="1"/>
  <c r="D171" i="1"/>
  <c r="E159" i="1"/>
  <c r="D147" i="1"/>
  <c r="D123" i="1"/>
  <c r="E111" i="1"/>
  <c r="D99" i="1"/>
  <c r="D87" i="1"/>
  <c r="D75" i="1"/>
  <c r="D63" i="1"/>
  <c r="D51" i="1"/>
  <c r="D39" i="1"/>
  <c r="D27" i="1"/>
  <c r="D15" i="1"/>
  <c r="D97" i="1"/>
  <c r="E30" i="1"/>
  <c r="E29" i="1"/>
  <c r="E18" i="1"/>
  <c r="E197" i="1"/>
  <c r="E114" i="1"/>
  <c r="E54" i="1"/>
  <c r="F198" i="1"/>
  <c r="E126" i="1"/>
  <c r="E198" i="1"/>
  <c r="E181" i="1"/>
  <c r="E174" i="1"/>
  <c r="E90" i="1"/>
  <c r="E205" i="1"/>
  <c r="E78" i="1"/>
  <c r="E72" i="1"/>
  <c r="E138" i="1"/>
  <c r="E66" i="1"/>
  <c r="E185" i="1"/>
  <c r="E39" i="1"/>
  <c r="D110" i="1"/>
  <c r="E110" i="1"/>
  <c r="D135" i="1"/>
  <c r="E133" i="1"/>
  <c r="E169" i="1"/>
  <c r="D157" i="1"/>
  <c r="E186" i="1"/>
  <c r="E162" i="1"/>
  <c r="E125" i="1"/>
  <c r="E77" i="1"/>
  <c r="E85" i="1"/>
  <c r="E109" i="1"/>
  <c r="D145" i="1"/>
  <c r="D25" i="1"/>
  <c r="E102" i="1"/>
  <c r="F202" i="1"/>
  <c r="F190" i="1"/>
  <c r="F178" i="1"/>
  <c r="F166" i="1"/>
  <c r="F154" i="1"/>
  <c r="F142" i="1"/>
  <c r="F130" i="1"/>
  <c r="F118" i="1"/>
  <c r="F106" i="1"/>
  <c r="F94" i="1"/>
  <c r="F82" i="1"/>
  <c r="F70" i="1"/>
  <c r="F58" i="1"/>
  <c r="F46" i="1"/>
  <c r="F34" i="1"/>
  <c r="F22" i="1"/>
  <c r="F10" i="1"/>
  <c r="E193" i="1"/>
  <c r="E150" i="1"/>
  <c r="E49" i="1"/>
  <c r="F189" i="1"/>
  <c r="F177" i="1"/>
  <c r="F153" i="1"/>
  <c r="F141" i="1"/>
  <c r="F129" i="1"/>
  <c r="F117" i="1"/>
  <c r="E122" i="1"/>
  <c r="E48" i="1"/>
  <c r="E121" i="1"/>
  <c r="E42" i="1"/>
  <c r="D161" i="1"/>
  <c r="D16" i="1"/>
  <c r="E16" i="1"/>
  <c r="D137" i="1"/>
  <c r="E137" i="1"/>
  <c r="D89" i="1"/>
  <c r="E89" i="1"/>
  <c r="E204" i="1"/>
  <c r="E167" i="1"/>
  <c r="E155" i="1"/>
  <c r="E11" i="1"/>
  <c r="E202" i="1"/>
  <c r="E190" i="1"/>
  <c r="E178" i="1"/>
  <c r="E166" i="1"/>
  <c r="E154" i="1"/>
  <c r="E142" i="1"/>
  <c r="E130" i="1"/>
  <c r="E118" i="1"/>
  <c r="E106" i="1"/>
  <c r="E94" i="1"/>
  <c r="E82" i="1"/>
  <c r="E70" i="1"/>
  <c r="E58" i="1"/>
  <c r="E46" i="1"/>
  <c r="E34" i="1"/>
  <c r="E22" i="1"/>
  <c r="E10" i="1"/>
  <c r="E201" i="1"/>
  <c r="E189" i="1"/>
  <c r="E177" i="1"/>
  <c r="E165" i="1"/>
  <c r="E153" i="1"/>
  <c r="E141" i="1"/>
  <c r="E129" i="1"/>
  <c r="E117" i="1"/>
  <c r="E105" i="1"/>
  <c r="E93" i="1"/>
  <c r="E81" i="1"/>
  <c r="E69" i="1"/>
  <c r="E57" i="1"/>
  <c r="E45" i="1"/>
  <c r="E33" i="1"/>
  <c r="E21" i="1"/>
  <c r="E9" i="1"/>
  <c r="E200" i="1"/>
  <c r="E188" i="1"/>
  <c r="E176" i="1"/>
  <c r="E164" i="1"/>
  <c r="E152" i="1"/>
  <c r="E140" i="1"/>
  <c r="E128" i="1"/>
  <c r="E116" i="1"/>
  <c r="E104" i="1"/>
  <c r="E92" i="1"/>
  <c r="E80" i="1"/>
  <c r="E68" i="1"/>
  <c r="E56" i="1"/>
  <c r="E44" i="1"/>
  <c r="E32" i="1"/>
  <c r="E20" i="1"/>
  <c r="E8" i="1"/>
  <c r="E199" i="1"/>
  <c r="E187" i="1"/>
  <c r="E175" i="1"/>
  <c r="E163" i="1"/>
  <c r="E151" i="1"/>
  <c r="E139" i="1"/>
  <c r="E127" i="1"/>
  <c r="E115" i="1"/>
  <c r="E103" i="1"/>
  <c r="E91" i="1"/>
  <c r="E79" i="1"/>
  <c r="E67" i="1"/>
  <c r="E55" i="1"/>
  <c r="E43" i="1"/>
  <c r="E31" i="1"/>
  <c r="E19" i="1"/>
  <c r="E7" i="1"/>
  <c r="F25" i="1" l="1"/>
  <c r="G25" i="1" s="1"/>
  <c r="F87" i="1"/>
  <c r="I87" i="1" s="1"/>
  <c r="J87" i="1" s="1"/>
  <c r="F35" i="1"/>
  <c r="G35" i="1" s="1"/>
  <c r="F179" i="1"/>
  <c r="G179" i="1" s="1"/>
  <c r="F146" i="1"/>
  <c r="G146" i="1" s="1"/>
  <c r="F76" i="1"/>
  <c r="G76" i="1" s="1"/>
  <c r="F28" i="1"/>
  <c r="G28" i="1" s="1"/>
  <c r="F125" i="1"/>
  <c r="G125" i="1" s="1"/>
  <c r="F145" i="1"/>
  <c r="G145" i="1" s="1"/>
  <c r="F110" i="1"/>
  <c r="G110" i="1" s="1"/>
  <c r="F99" i="1"/>
  <c r="G99" i="1" s="1"/>
  <c r="F47" i="1"/>
  <c r="G47" i="1" s="1"/>
  <c r="F191" i="1"/>
  <c r="G191" i="1" s="1"/>
  <c r="F108" i="1"/>
  <c r="F13" i="1"/>
  <c r="I13" i="1" s="1"/>
  <c r="J13" i="1" s="1"/>
  <c r="F64" i="1"/>
  <c r="G64" i="1" s="1"/>
  <c r="F23" i="1"/>
  <c r="G23" i="1" s="1"/>
  <c r="F173" i="1"/>
  <c r="I173" i="1" s="1"/>
  <c r="F59" i="1"/>
  <c r="I59" i="1" s="1"/>
  <c r="J59" i="1" s="1"/>
  <c r="F203" i="1"/>
  <c r="G203" i="1" s="1"/>
  <c r="F120" i="1"/>
  <c r="G120" i="1" s="1"/>
  <c r="F14" i="1"/>
  <c r="G14" i="1" s="1"/>
  <c r="F170" i="1"/>
  <c r="G170" i="1" s="1"/>
  <c r="F112" i="1"/>
  <c r="G112" i="1" s="1"/>
  <c r="F100" i="1"/>
  <c r="I100" i="1" s="1"/>
  <c r="J100" i="1" s="1"/>
  <c r="F84" i="1"/>
  <c r="G84" i="1" s="1"/>
  <c r="F123" i="1"/>
  <c r="G123" i="1" s="1"/>
  <c r="F71" i="1"/>
  <c r="I71" i="1" s="1"/>
  <c r="J71" i="1" s="1"/>
  <c r="F132" i="1"/>
  <c r="G132" i="1" s="1"/>
  <c r="F26" i="1"/>
  <c r="G26" i="1" s="1"/>
  <c r="F182" i="1"/>
  <c r="I182" i="1" s="1"/>
  <c r="J182" i="1" s="1"/>
  <c r="F136" i="1"/>
  <c r="G136" i="1" s="1"/>
  <c r="F124" i="1"/>
  <c r="G124" i="1" s="1"/>
  <c r="F40" i="1"/>
  <c r="G40" i="1" s="1"/>
  <c r="F161" i="1"/>
  <c r="G161" i="1" s="1"/>
  <c r="F147" i="1"/>
  <c r="G147" i="1" s="1"/>
  <c r="F83" i="1"/>
  <c r="G83" i="1" s="1"/>
  <c r="F50" i="1"/>
  <c r="G50" i="1" s="1"/>
  <c r="F194" i="1"/>
  <c r="G194" i="1" s="1"/>
  <c r="F63" i="1"/>
  <c r="G63" i="1" s="1"/>
  <c r="F97" i="1"/>
  <c r="G97" i="1" s="1"/>
  <c r="F95" i="1"/>
  <c r="G95" i="1" s="1"/>
  <c r="F12" i="1"/>
  <c r="G12" i="1" s="1"/>
  <c r="F156" i="1"/>
  <c r="G156" i="1" s="1"/>
  <c r="F62" i="1"/>
  <c r="G62" i="1" s="1"/>
  <c r="F206" i="1"/>
  <c r="I206" i="1" s="1"/>
  <c r="J206" i="1" s="1"/>
  <c r="F172" i="1"/>
  <c r="G172" i="1" s="1"/>
  <c r="F184" i="1"/>
  <c r="G184" i="1" s="1"/>
  <c r="F11" i="1"/>
  <c r="G11" i="1" s="1"/>
  <c r="F157" i="1"/>
  <c r="G157" i="1" s="1"/>
  <c r="F15" i="1"/>
  <c r="I15" i="1" s="1"/>
  <c r="J15" i="1" s="1"/>
  <c r="F171" i="1"/>
  <c r="G171" i="1" s="1"/>
  <c r="F107" i="1"/>
  <c r="G107" i="1" s="1"/>
  <c r="F24" i="1"/>
  <c r="I24" i="1" s="1"/>
  <c r="J24" i="1" s="1"/>
  <c r="F168" i="1"/>
  <c r="I168" i="1" s="1"/>
  <c r="J168" i="1" s="1"/>
  <c r="F74" i="1"/>
  <c r="G74" i="1" s="1"/>
  <c r="F101" i="1"/>
  <c r="G101" i="1" s="1"/>
  <c r="F196" i="1"/>
  <c r="G196" i="1" s="1"/>
  <c r="F72" i="1"/>
  <c r="G72" i="1" s="1"/>
  <c r="F27" i="1"/>
  <c r="I27" i="1" s="1"/>
  <c r="J27" i="1" s="1"/>
  <c r="F183" i="1"/>
  <c r="G183" i="1" s="1"/>
  <c r="F119" i="1"/>
  <c r="F36" i="1"/>
  <c r="G36" i="1" s="1"/>
  <c r="F180" i="1"/>
  <c r="I180" i="1" s="1"/>
  <c r="J180" i="1" s="1"/>
  <c r="F86" i="1"/>
  <c r="I86" i="1" s="1"/>
  <c r="F149" i="1"/>
  <c r="G149" i="1" s="1"/>
  <c r="F29" i="1"/>
  <c r="G29" i="1" s="1"/>
  <c r="F41" i="1"/>
  <c r="G41" i="1" s="1"/>
  <c r="F135" i="1"/>
  <c r="G135" i="1" s="1"/>
  <c r="F167" i="1"/>
  <c r="G167" i="1" s="1"/>
  <c r="F134" i="1"/>
  <c r="G134" i="1" s="1"/>
  <c r="F39" i="1"/>
  <c r="G39" i="1" s="1"/>
  <c r="F195" i="1"/>
  <c r="G195" i="1" s="1"/>
  <c r="F131" i="1"/>
  <c r="G131" i="1" s="1"/>
  <c r="F48" i="1"/>
  <c r="G48" i="1" s="1"/>
  <c r="F98" i="1"/>
  <c r="G98" i="1" s="1"/>
  <c r="F185" i="1"/>
  <c r="G185" i="1" s="1"/>
  <c r="F53" i="1"/>
  <c r="G53" i="1" s="1"/>
  <c r="F65" i="1"/>
  <c r="G65" i="1" s="1"/>
  <c r="F122" i="1"/>
  <c r="G122" i="1" s="1"/>
  <c r="F137" i="1"/>
  <c r="G137" i="1" s="1"/>
  <c r="F75" i="1"/>
  <c r="G75" i="1" s="1"/>
  <c r="F16" i="1"/>
  <c r="G16" i="1" s="1"/>
  <c r="F89" i="1"/>
  <c r="I89" i="1" s="1"/>
  <c r="J89" i="1" s="1"/>
  <c r="F51" i="1"/>
  <c r="G51" i="1" s="1"/>
  <c r="E65" i="1"/>
  <c r="E143" i="1"/>
  <c r="E60" i="1"/>
  <c r="E40" i="1"/>
  <c r="E195" i="1"/>
  <c r="E107" i="1"/>
  <c r="E62" i="1"/>
  <c r="E86" i="1"/>
  <c r="E27" i="1"/>
  <c r="E206" i="1"/>
  <c r="E101" i="1"/>
  <c r="D159" i="1"/>
  <c r="E12" i="1"/>
  <c r="E95" i="1"/>
  <c r="E74" i="1"/>
  <c r="E184" i="1"/>
  <c r="E14" i="1"/>
  <c r="E84" i="1"/>
  <c r="E24" i="1"/>
  <c r="E51" i="1"/>
  <c r="E147" i="1"/>
  <c r="E23" i="1"/>
  <c r="E15" i="1"/>
  <c r="E83" i="1"/>
  <c r="E156" i="1"/>
  <c r="E123" i="1"/>
  <c r="E168" i="1"/>
  <c r="D17" i="1"/>
  <c r="D144" i="1"/>
  <c r="E192" i="1"/>
  <c r="E171" i="1"/>
  <c r="E194" i="1"/>
  <c r="E183" i="1"/>
  <c r="E196" i="1"/>
  <c r="D61" i="1"/>
  <c r="E108" i="1"/>
  <c r="E112" i="1"/>
  <c r="D160" i="1"/>
  <c r="E172" i="1"/>
  <c r="E180" i="1"/>
  <c r="E136" i="1"/>
  <c r="E53" i="1"/>
  <c r="G91" i="1"/>
  <c r="I91" i="1"/>
  <c r="G153" i="1"/>
  <c r="I153" i="1"/>
  <c r="G148" i="1"/>
  <c r="I148" i="1"/>
  <c r="J148" i="1" s="1"/>
  <c r="G103" i="1"/>
  <c r="I103" i="1"/>
  <c r="G165" i="1"/>
  <c r="I165" i="1"/>
  <c r="G115" i="1"/>
  <c r="I115" i="1"/>
  <c r="G177" i="1"/>
  <c r="I177" i="1"/>
  <c r="G54" i="1"/>
  <c r="I54" i="1"/>
  <c r="G189" i="1"/>
  <c r="I189" i="1"/>
  <c r="G30" i="1"/>
  <c r="I30" i="1"/>
  <c r="G133" i="1"/>
  <c r="I133" i="1"/>
  <c r="G126" i="1"/>
  <c r="I126" i="1"/>
  <c r="G151" i="1"/>
  <c r="I151" i="1"/>
  <c r="G150" i="1"/>
  <c r="I150" i="1"/>
  <c r="G205" i="1"/>
  <c r="I205" i="1"/>
  <c r="G31" i="1"/>
  <c r="I31" i="1"/>
  <c r="G93" i="1"/>
  <c r="I93" i="1"/>
  <c r="G66" i="1"/>
  <c r="I66" i="1"/>
  <c r="G204" i="1"/>
  <c r="I204" i="1"/>
  <c r="J204" i="1" s="1"/>
  <c r="G32" i="1"/>
  <c r="I32" i="1"/>
  <c r="G130" i="1"/>
  <c r="I130" i="1"/>
  <c r="G188" i="1"/>
  <c r="I188" i="1"/>
  <c r="G102" i="1"/>
  <c r="I102" i="1"/>
  <c r="G108" i="1"/>
  <c r="I108" i="1"/>
  <c r="J108" i="1" s="1"/>
  <c r="G56" i="1"/>
  <c r="I56" i="1"/>
  <c r="G10" i="1"/>
  <c r="I10" i="1"/>
  <c r="G42" i="1"/>
  <c r="I42" i="1"/>
  <c r="G121" i="1"/>
  <c r="I121" i="1"/>
  <c r="G45" i="1"/>
  <c r="I45" i="1"/>
  <c r="G109" i="1"/>
  <c r="I109" i="1"/>
  <c r="G18" i="1"/>
  <c r="I18" i="1"/>
  <c r="G80" i="1"/>
  <c r="I80" i="1"/>
  <c r="G201" i="1"/>
  <c r="I201" i="1"/>
  <c r="G52" i="1"/>
  <c r="I52" i="1"/>
  <c r="J52" i="1" s="1"/>
  <c r="G7" i="1"/>
  <c r="I7" i="1"/>
  <c r="J7" i="1" s="1"/>
  <c r="G69" i="1"/>
  <c r="I69" i="1"/>
  <c r="G181" i="1"/>
  <c r="I181" i="1"/>
  <c r="G163" i="1"/>
  <c r="I163" i="1"/>
  <c r="G81" i="1"/>
  <c r="I81" i="1"/>
  <c r="G202" i="1"/>
  <c r="I202" i="1"/>
  <c r="G77" i="1"/>
  <c r="I77" i="1"/>
  <c r="J77" i="1" s="1"/>
  <c r="G187" i="1"/>
  <c r="I187" i="1"/>
  <c r="G105" i="1"/>
  <c r="I105" i="1"/>
  <c r="G82" i="1"/>
  <c r="I82" i="1"/>
  <c r="G55" i="1"/>
  <c r="I55" i="1"/>
  <c r="G199" i="1"/>
  <c r="I199" i="1"/>
  <c r="G140" i="1"/>
  <c r="I140" i="1"/>
  <c r="G117" i="1"/>
  <c r="I117" i="1"/>
  <c r="G94" i="1"/>
  <c r="I94" i="1"/>
  <c r="G143" i="1"/>
  <c r="I143" i="1"/>
  <c r="J143" i="1" s="1"/>
  <c r="G114" i="1"/>
  <c r="I114" i="1"/>
  <c r="G197" i="1"/>
  <c r="I197" i="1"/>
  <c r="G78" i="1"/>
  <c r="I78" i="1"/>
  <c r="G9" i="1"/>
  <c r="I9" i="1"/>
  <c r="G44" i="1"/>
  <c r="I44" i="1"/>
  <c r="G142" i="1"/>
  <c r="I142" i="1"/>
  <c r="G49" i="1"/>
  <c r="I49" i="1"/>
  <c r="J49" i="1" s="1"/>
  <c r="G33" i="1"/>
  <c r="I33" i="1"/>
  <c r="G154" i="1"/>
  <c r="I154" i="1"/>
  <c r="G68" i="1"/>
  <c r="I68" i="1"/>
  <c r="G166" i="1"/>
  <c r="I166" i="1"/>
  <c r="G139" i="1"/>
  <c r="I139" i="1"/>
  <c r="G57" i="1"/>
  <c r="I57" i="1"/>
  <c r="G178" i="1"/>
  <c r="I178" i="1"/>
  <c r="G92" i="1"/>
  <c r="I92" i="1"/>
  <c r="G46" i="1"/>
  <c r="I46" i="1"/>
  <c r="G174" i="1"/>
  <c r="I174" i="1"/>
  <c r="G162" i="1"/>
  <c r="I162" i="1"/>
  <c r="G19" i="1"/>
  <c r="I19" i="1"/>
  <c r="G104" i="1"/>
  <c r="I104" i="1"/>
  <c r="G116" i="1"/>
  <c r="I116" i="1"/>
  <c r="G70" i="1"/>
  <c r="I70" i="1"/>
  <c r="G119" i="1"/>
  <c r="I119" i="1"/>
  <c r="J119" i="1" s="1"/>
  <c r="G138" i="1"/>
  <c r="I138" i="1"/>
  <c r="G43" i="1"/>
  <c r="I43" i="1"/>
  <c r="G192" i="1"/>
  <c r="I192" i="1"/>
  <c r="J192" i="1" s="1"/>
  <c r="G67" i="1"/>
  <c r="I67" i="1"/>
  <c r="G8" i="1"/>
  <c r="I8" i="1"/>
  <c r="G152" i="1"/>
  <c r="I152" i="1"/>
  <c r="G129" i="1"/>
  <c r="I129" i="1"/>
  <c r="G106" i="1"/>
  <c r="I106" i="1"/>
  <c r="G60" i="1"/>
  <c r="I60" i="1"/>
  <c r="J60" i="1" s="1"/>
  <c r="G155" i="1"/>
  <c r="I155" i="1"/>
  <c r="J155" i="1" s="1"/>
  <c r="G186" i="1"/>
  <c r="I186" i="1"/>
  <c r="G198" i="1"/>
  <c r="I198" i="1"/>
  <c r="G176" i="1"/>
  <c r="I176" i="1"/>
  <c r="G87" i="1"/>
  <c r="G21" i="1"/>
  <c r="I21" i="1"/>
  <c r="G200" i="1"/>
  <c r="I200" i="1"/>
  <c r="G85" i="1"/>
  <c r="I85" i="1"/>
  <c r="G100" i="1"/>
  <c r="G127" i="1"/>
  <c r="I127" i="1"/>
  <c r="G22" i="1"/>
  <c r="I22" i="1"/>
  <c r="G169" i="1"/>
  <c r="I169" i="1"/>
  <c r="G34" i="1"/>
  <c r="I34" i="1"/>
  <c r="G193" i="1"/>
  <c r="I193" i="1"/>
  <c r="G190" i="1"/>
  <c r="I190" i="1"/>
  <c r="I157" i="1"/>
  <c r="J157" i="1" s="1"/>
  <c r="G58" i="1"/>
  <c r="I58" i="1"/>
  <c r="G175" i="1"/>
  <c r="I175" i="1"/>
  <c r="G128" i="1"/>
  <c r="I128" i="1"/>
  <c r="G79" i="1"/>
  <c r="I79" i="1"/>
  <c r="G20" i="1"/>
  <c r="I20" i="1"/>
  <c r="G164" i="1"/>
  <c r="I164" i="1"/>
  <c r="G141" i="1"/>
  <c r="I141" i="1"/>
  <c r="G118" i="1"/>
  <c r="I118" i="1"/>
  <c r="G90" i="1"/>
  <c r="I90" i="1"/>
  <c r="E203" i="1"/>
  <c r="E28" i="1"/>
  <c r="E173" i="1"/>
  <c r="E71" i="1"/>
  <c r="D158" i="1"/>
  <c r="E170" i="1"/>
  <c r="E26" i="1"/>
  <c r="E146" i="1"/>
  <c r="E50" i="1"/>
  <c r="D37" i="1"/>
  <c r="E98" i="1"/>
  <c r="D96" i="1"/>
  <c r="E179" i="1"/>
  <c r="E13" i="1"/>
  <c r="E59" i="1"/>
  <c r="E134" i="1"/>
  <c r="E76" i="1"/>
  <c r="E41" i="1"/>
  <c r="E52" i="1"/>
  <c r="E120" i="1"/>
  <c r="E47" i="1"/>
  <c r="E35" i="1"/>
  <c r="E191" i="1"/>
  <c r="E100" i="1"/>
  <c r="E132" i="1"/>
  <c r="E119" i="1"/>
  <c r="D88" i="1"/>
  <c r="E148" i="1"/>
  <c r="E36" i="1"/>
  <c r="D73" i="1"/>
  <c r="E124" i="1"/>
  <c r="E131" i="1"/>
  <c r="E64" i="1"/>
  <c r="E182" i="1"/>
  <c r="E149" i="1"/>
  <c r="D111" i="1"/>
  <c r="E87" i="1"/>
  <c r="E99" i="1"/>
  <c r="E63" i="1"/>
  <c r="E75" i="1"/>
  <c r="D113" i="1"/>
  <c r="E113" i="1"/>
  <c r="E135" i="1"/>
  <c r="D38" i="1"/>
  <c r="E38" i="1"/>
  <c r="I64" i="1" l="1"/>
  <c r="N64" i="1" s="1"/>
  <c r="G71" i="1"/>
  <c r="I84" i="1"/>
  <c r="J84" i="1" s="1"/>
  <c r="I131" i="1"/>
  <c r="J131" i="1" s="1"/>
  <c r="K131" i="1" s="1"/>
  <c r="L131" i="1" s="1"/>
  <c r="I50" i="1"/>
  <c r="J50" i="1" s="1"/>
  <c r="K50" i="1" s="1"/>
  <c r="L50" i="1" s="1"/>
  <c r="I191" i="1"/>
  <c r="J191" i="1" s="1"/>
  <c r="I25" i="1"/>
  <c r="J25" i="1" s="1"/>
  <c r="K25" i="1" s="1"/>
  <c r="L25" i="1" s="1"/>
  <c r="I36" i="1"/>
  <c r="J36" i="1" s="1"/>
  <c r="K36" i="1" s="1"/>
  <c r="L36" i="1" s="1"/>
  <c r="G15" i="1"/>
  <c r="K15" i="1" s="1"/>
  <c r="L15" i="1" s="1"/>
  <c r="I195" i="1"/>
  <c r="J195" i="1" s="1"/>
  <c r="K195" i="1" s="1"/>
  <c r="L195" i="1" s="1"/>
  <c r="I183" i="1"/>
  <c r="J183" i="1" s="1"/>
  <c r="K183" i="1" s="1"/>
  <c r="L183" i="1" s="1"/>
  <c r="I123" i="1"/>
  <c r="J123" i="1" s="1"/>
  <c r="K123" i="1" s="1"/>
  <c r="M123" i="1" s="1"/>
  <c r="G180" i="1"/>
  <c r="K180" i="1" s="1"/>
  <c r="L180" i="1" s="1"/>
  <c r="I171" i="1"/>
  <c r="J171" i="1" s="1"/>
  <c r="K171" i="1" s="1"/>
  <c r="L171" i="1" s="1"/>
  <c r="I132" i="1"/>
  <c r="J132" i="1" s="1"/>
  <c r="K132" i="1" s="1"/>
  <c r="L132" i="1" s="1"/>
  <c r="I48" i="1"/>
  <c r="J48" i="1" s="1"/>
  <c r="K48" i="1" s="1"/>
  <c r="L48" i="1" s="1"/>
  <c r="I35" i="1"/>
  <c r="J35" i="1" s="1"/>
  <c r="K35" i="1" s="1"/>
  <c r="L35" i="1" s="1"/>
  <c r="G13" i="1"/>
  <c r="K13" i="1" s="1"/>
  <c r="L13" i="1" s="1"/>
  <c r="I23" i="1"/>
  <c r="J23" i="1" s="1"/>
  <c r="K23" i="1" s="1"/>
  <c r="L23" i="1" s="1"/>
  <c r="I146" i="1"/>
  <c r="J146" i="1" s="1"/>
  <c r="K146" i="1" s="1"/>
  <c r="L146" i="1" s="1"/>
  <c r="I63" i="1"/>
  <c r="J63" i="1" s="1"/>
  <c r="K63" i="1" s="1"/>
  <c r="L63" i="1" s="1"/>
  <c r="I194" i="1"/>
  <c r="J194" i="1" s="1"/>
  <c r="K194" i="1" s="1"/>
  <c r="L194" i="1" s="1"/>
  <c r="I95" i="1"/>
  <c r="J95" i="1" s="1"/>
  <c r="K95" i="1" s="1"/>
  <c r="L95" i="1" s="1"/>
  <c r="I107" i="1"/>
  <c r="J107" i="1" s="1"/>
  <c r="K107" i="1" s="1"/>
  <c r="L107" i="1" s="1"/>
  <c r="I179" i="1"/>
  <c r="J179" i="1" s="1"/>
  <c r="K179" i="1" s="1"/>
  <c r="L179" i="1" s="1"/>
  <c r="G24" i="1"/>
  <c r="K24" i="1" s="1"/>
  <c r="L24" i="1" s="1"/>
  <c r="G182" i="1"/>
  <c r="K182" i="1" s="1"/>
  <c r="L182" i="1" s="1"/>
  <c r="K87" i="1"/>
  <c r="L87" i="1" s="1"/>
  <c r="I51" i="1"/>
  <c r="J51" i="1" s="1"/>
  <c r="K51" i="1" s="1"/>
  <c r="L51" i="1" s="1"/>
  <c r="I11" i="1"/>
  <c r="J11" i="1" s="1"/>
  <c r="K11" i="1" s="1"/>
  <c r="L11" i="1" s="1"/>
  <c r="I83" i="1"/>
  <c r="J83" i="1" s="1"/>
  <c r="K83" i="1" s="1"/>
  <c r="L83" i="1" s="1"/>
  <c r="K148" i="1"/>
  <c r="L148" i="1" s="1"/>
  <c r="G59" i="1"/>
  <c r="K59" i="1" s="1"/>
  <c r="L59" i="1" s="1"/>
  <c r="I28" i="1"/>
  <c r="J28" i="1" s="1"/>
  <c r="K28" i="1" s="1"/>
  <c r="L28" i="1" s="1"/>
  <c r="I65" i="1"/>
  <c r="J65" i="1" s="1"/>
  <c r="K65" i="1" s="1"/>
  <c r="L65" i="1" s="1"/>
  <c r="I40" i="1"/>
  <c r="J40" i="1" s="1"/>
  <c r="K40" i="1" s="1"/>
  <c r="I167" i="1"/>
  <c r="J167" i="1" s="1"/>
  <c r="K167" i="1" s="1"/>
  <c r="L167" i="1" s="1"/>
  <c r="I110" i="1"/>
  <c r="J110" i="1" s="1"/>
  <c r="K110" i="1" s="1"/>
  <c r="L110" i="1" s="1"/>
  <c r="I75" i="1"/>
  <c r="J75" i="1" s="1"/>
  <c r="K75" i="1" s="1"/>
  <c r="L75" i="1" s="1"/>
  <c r="I196" i="1"/>
  <c r="J196" i="1" s="1"/>
  <c r="K196" i="1" s="1"/>
  <c r="L196" i="1" s="1"/>
  <c r="I203" i="1"/>
  <c r="J203" i="1" s="1"/>
  <c r="K203" i="1" s="1"/>
  <c r="L203" i="1" s="1"/>
  <c r="I125" i="1"/>
  <c r="J125" i="1" s="1"/>
  <c r="K125" i="1" s="1"/>
  <c r="L125" i="1" s="1"/>
  <c r="I53" i="1"/>
  <c r="J53" i="1" s="1"/>
  <c r="K53" i="1" s="1"/>
  <c r="L53" i="1" s="1"/>
  <c r="I41" i="1"/>
  <c r="J41" i="1" s="1"/>
  <c r="K41" i="1" s="1"/>
  <c r="L41" i="1" s="1"/>
  <c r="I122" i="1"/>
  <c r="J122" i="1" s="1"/>
  <c r="K122" i="1" s="1"/>
  <c r="G206" i="1"/>
  <c r="K206" i="1" s="1"/>
  <c r="L206" i="1" s="1"/>
  <c r="K77" i="1"/>
  <c r="L77" i="1" s="1"/>
  <c r="I29" i="1"/>
  <c r="J29" i="1" s="1"/>
  <c r="K29" i="1" s="1"/>
  <c r="L29" i="1" s="1"/>
  <c r="I12" i="1"/>
  <c r="J12" i="1" s="1"/>
  <c r="K12" i="1" s="1"/>
  <c r="L12" i="1" s="1"/>
  <c r="I16" i="1"/>
  <c r="J16" i="1" s="1"/>
  <c r="K16" i="1" s="1"/>
  <c r="L16" i="1" s="1"/>
  <c r="I170" i="1"/>
  <c r="J170" i="1" s="1"/>
  <c r="K170" i="1" s="1"/>
  <c r="L170" i="1" s="1"/>
  <c r="I172" i="1"/>
  <c r="J172" i="1" s="1"/>
  <c r="K172" i="1" s="1"/>
  <c r="L172" i="1" s="1"/>
  <c r="I137" i="1"/>
  <c r="J137" i="1" s="1"/>
  <c r="K137" i="1" s="1"/>
  <c r="L137" i="1" s="1"/>
  <c r="I145" i="1"/>
  <c r="J145" i="1" s="1"/>
  <c r="K145" i="1" s="1"/>
  <c r="L145" i="1" s="1"/>
  <c r="G89" i="1"/>
  <c r="K89" i="1" s="1"/>
  <c r="I135" i="1"/>
  <c r="J135" i="1" s="1"/>
  <c r="K135" i="1" s="1"/>
  <c r="L135" i="1" s="1"/>
  <c r="I39" i="1"/>
  <c r="J39" i="1" s="1"/>
  <c r="K39" i="1" s="1"/>
  <c r="L39" i="1" s="1"/>
  <c r="I184" i="1"/>
  <c r="J184" i="1" s="1"/>
  <c r="K184" i="1" s="1"/>
  <c r="L184" i="1" s="1"/>
  <c r="I161" i="1"/>
  <c r="J161" i="1" s="1"/>
  <c r="K161" i="1" s="1"/>
  <c r="L161" i="1" s="1"/>
  <c r="I72" i="1"/>
  <c r="J72" i="1" s="1"/>
  <c r="K72" i="1" s="1"/>
  <c r="L72" i="1" s="1"/>
  <c r="G27" i="1"/>
  <c r="K27" i="1" s="1"/>
  <c r="L27" i="1" s="1"/>
  <c r="G168" i="1"/>
  <c r="K168" i="1" s="1"/>
  <c r="I185" i="1"/>
  <c r="J185" i="1" s="1"/>
  <c r="K185" i="1" s="1"/>
  <c r="L185" i="1" s="1"/>
  <c r="I136" i="1"/>
  <c r="N136" i="1" s="1"/>
  <c r="N204" i="1"/>
  <c r="N180" i="1"/>
  <c r="N77" i="1"/>
  <c r="I62" i="1"/>
  <c r="J62" i="1" s="1"/>
  <c r="K62" i="1" s="1"/>
  <c r="I156" i="1"/>
  <c r="J156" i="1" s="1"/>
  <c r="K156" i="1" s="1"/>
  <c r="L156" i="1" s="1"/>
  <c r="I14" i="1"/>
  <c r="J14" i="1" s="1"/>
  <c r="K14" i="1" s="1"/>
  <c r="L14" i="1" s="1"/>
  <c r="I74" i="1"/>
  <c r="J74" i="1" s="1"/>
  <c r="K74" i="1" s="1"/>
  <c r="L74" i="1" s="1"/>
  <c r="I120" i="1"/>
  <c r="J120" i="1" s="1"/>
  <c r="K120" i="1" s="1"/>
  <c r="L120" i="1" s="1"/>
  <c r="I101" i="1"/>
  <c r="J101" i="1" s="1"/>
  <c r="K101" i="1" s="1"/>
  <c r="M101" i="1" s="1"/>
  <c r="I149" i="1"/>
  <c r="J149" i="1" s="1"/>
  <c r="K149" i="1" s="1"/>
  <c r="L149" i="1" s="1"/>
  <c r="N52" i="1"/>
  <c r="I99" i="1"/>
  <c r="I124" i="1"/>
  <c r="J124" i="1" s="1"/>
  <c r="K124" i="1" s="1"/>
  <c r="L124" i="1" s="1"/>
  <c r="J173" i="1"/>
  <c r="N173" i="1"/>
  <c r="J86" i="1"/>
  <c r="N86" i="1"/>
  <c r="J20" i="1"/>
  <c r="K20" i="1" s="1"/>
  <c r="L20" i="1" s="1"/>
  <c r="N20" i="1"/>
  <c r="J127" i="1"/>
  <c r="K127" i="1" s="1"/>
  <c r="L127" i="1" s="1"/>
  <c r="N127" i="1"/>
  <c r="J129" i="1"/>
  <c r="K129" i="1" s="1"/>
  <c r="L129" i="1" s="1"/>
  <c r="N129" i="1"/>
  <c r="J57" i="1"/>
  <c r="K57" i="1" s="1"/>
  <c r="L57" i="1" s="1"/>
  <c r="N57" i="1"/>
  <c r="J114" i="1"/>
  <c r="K114" i="1" s="1"/>
  <c r="L114" i="1" s="1"/>
  <c r="N114" i="1"/>
  <c r="J121" i="1"/>
  <c r="K121" i="1" s="1"/>
  <c r="M121" i="1" s="1"/>
  <c r="N121" i="1"/>
  <c r="J151" i="1"/>
  <c r="K151" i="1" s="1"/>
  <c r="L151" i="1" s="1"/>
  <c r="N151" i="1"/>
  <c r="J90" i="1"/>
  <c r="K90" i="1" s="1"/>
  <c r="L90" i="1" s="1"/>
  <c r="N90" i="1"/>
  <c r="J79" i="1"/>
  <c r="K79" i="1" s="1"/>
  <c r="L79" i="1" s="1"/>
  <c r="N79" i="1"/>
  <c r="J128" i="1"/>
  <c r="K128" i="1" s="1"/>
  <c r="L128" i="1" s="1"/>
  <c r="N128" i="1"/>
  <c r="J58" i="1"/>
  <c r="K58" i="1" s="1"/>
  <c r="L58" i="1" s="1"/>
  <c r="N58" i="1"/>
  <c r="J34" i="1"/>
  <c r="K34" i="1" s="1"/>
  <c r="L34" i="1" s="1"/>
  <c r="N34" i="1"/>
  <c r="J186" i="1"/>
  <c r="K186" i="1" s="1"/>
  <c r="L186" i="1" s="1"/>
  <c r="N186" i="1"/>
  <c r="J152" i="1"/>
  <c r="K152" i="1" s="1"/>
  <c r="L152" i="1" s="1"/>
  <c r="N152" i="1"/>
  <c r="J116" i="1"/>
  <c r="K116" i="1" s="1"/>
  <c r="N116" i="1"/>
  <c r="J139" i="1"/>
  <c r="K139" i="1" s="1"/>
  <c r="N139" i="1"/>
  <c r="J154" i="1"/>
  <c r="K154" i="1" s="1"/>
  <c r="L154" i="1" s="1"/>
  <c r="N154" i="1"/>
  <c r="J55" i="1"/>
  <c r="K55" i="1" s="1"/>
  <c r="L55" i="1" s="1"/>
  <c r="N55" i="1"/>
  <c r="J105" i="1"/>
  <c r="K105" i="1" s="1"/>
  <c r="L105" i="1" s="1"/>
  <c r="N105" i="1"/>
  <c r="J202" i="1"/>
  <c r="K202" i="1" s="1"/>
  <c r="L202" i="1" s="1"/>
  <c r="N202" i="1"/>
  <c r="I147" i="1"/>
  <c r="I112" i="1"/>
  <c r="J31" i="1"/>
  <c r="K31" i="1" s="1"/>
  <c r="L31" i="1" s="1"/>
  <c r="N31" i="1"/>
  <c r="J54" i="1"/>
  <c r="K54" i="1" s="1"/>
  <c r="N54" i="1"/>
  <c r="J103" i="1"/>
  <c r="K103" i="1" s="1"/>
  <c r="N103" i="1"/>
  <c r="N60" i="1"/>
  <c r="N192" i="1"/>
  <c r="N206" i="1"/>
  <c r="J82" i="1"/>
  <c r="K82" i="1" s="1"/>
  <c r="L82" i="1" s="1"/>
  <c r="N82" i="1"/>
  <c r="F159" i="1"/>
  <c r="G159" i="1" s="1"/>
  <c r="N143" i="1"/>
  <c r="N71" i="1"/>
  <c r="J198" i="1"/>
  <c r="K198" i="1" s="1"/>
  <c r="M198" i="1" s="1"/>
  <c r="N198" i="1"/>
  <c r="F88" i="1"/>
  <c r="G88" i="1" s="1"/>
  <c r="J46" i="1"/>
  <c r="K46" i="1" s="1"/>
  <c r="L46" i="1" s="1"/>
  <c r="N46" i="1"/>
  <c r="J33" i="1"/>
  <c r="K33" i="1" s="1"/>
  <c r="L33" i="1" s="1"/>
  <c r="N33" i="1"/>
  <c r="J9" i="1"/>
  <c r="K9" i="1" s="1"/>
  <c r="L9" i="1" s="1"/>
  <c r="N9" i="1"/>
  <c r="J187" i="1"/>
  <c r="K187" i="1" s="1"/>
  <c r="L187" i="1" s="1"/>
  <c r="N187" i="1"/>
  <c r="J81" i="1"/>
  <c r="K81" i="1" s="1"/>
  <c r="L81" i="1" s="1"/>
  <c r="N81" i="1"/>
  <c r="J18" i="1"/>
  <c r="K18" i="1" s="1"/>
  <c r="L18" i="1" s="1"/>
  <c r="N18" i="1"/>
  <c r="J102" i="1"/>
  <c r="K102" i="1" s="1"/>
  <c r="L102" i="1" s="1"/>
  <c r="N102" i="1"/>
  <c r="J130" i="1"/>
  <c r="K130" i="1" s="1"/>
  <c r="L130" i="1" s="1"/>
  <c r="N130" i="1"/>
  <c r="J205" i="1"/>
  <c r="K205" i="1" s="1"/>
  <c r="L205" i="1" s="1"/>
  <c r="N205" i="1"/>
  <c r="J126" i="1"/>
  <c r="K126" i="1" s="1"/>
  <c r="L126" i="1" s="1"/>
  <c r="N126" i="1"/>
  <c r="I76" i="1"/>
  <c r="N7" i="1"/>
  <c r="N15" i="1"/>
  <c r="N148" i="1"/>
  <c r="F61" i="1"/>
  <c r="I61" i="1" s="1"/>
  <c r="J61" i="1" s="1"/>
  <c r="J8" i="1"/>
  <c r="K8" i="1" s="1"/>
  <c r="L8" i="1" s="1"/>
  <c r="N8" i="1"/>
  <c r="G173" i="1"/>
  <c r="G86" i="1"/>
  <c r="N155" i="1"/>
  <c r="N119" i="1"/>
  <c r="N13" i="1"/>
  <c r="J174" i="1"/>
  <c r="K174" i="1" s="1"/>
  <c r="L174" i="1" s="1"/>
  <c r="N174" i="1"/>
  <c r="F111" i="1"/>
  <c r="G111" i="1" s="1"/>
  <c r="J43" i="1"/>
  <c r="K43" i="1" s="1"/>
  <c r="L43" i="1" s="1"/>
  <c r="N43" i="1"/>
  <c r="J104" i="1"/>
  <c r="K104" i="1" s="1"/>
  <c r="L104" i="1" s="1"/>
  <c r="N104" i="1"/>
  <c r="J92" i="1"/>
  <c r="K92" i="1" s="1"/>
  <c r="L92" i="1" s="1"/>
  <c r="N92" i="1"/>
  <c r="J94" i="1"/>
  <c r="K94" i="1" s="1"/>
  <c r="L94" i="1" s="1"/>
  <c r="N94" i="1"/>
  <c r="J163" i="1"/>
  <c r="K163" i="1" s="1"/>
  <c r="M163" i="1" s="1"/>
  <c r="N163" i="1"/>
  <c r="J42" i="1"/>
  <c r="K42" i="1" s="1"/>
  <c r="L42" i="1" s="1"/>
  <c r="N42" i="1"/>
  <c r="I26" i="1"/>
  <c r="J32" i="1"/>
  <c r="K32" i="1" s="1"/>
  <c r="L32" i="1" s="1"/>
  <c r="N32" i="1"/>
  <c r="I98" i="1"/>
  <c r="J133" i="1"/>
  <c r="K133" i="1" s="1"/>
  <c r="M133" i="1" s="1"/>
  <c r="N133" i="1"/>
  <c r="J177" i="1"/>
  <c r="K177" i="1" s="1"/>
  <c r="L177" i="1" s="1"/>
  <c r="N177" i="1"/>
  <c r="N157" i="1"/>
  <c r="J70" i="1"/>
  <c r="K70" i="1" s="1"/>
  <c r="L70" i="1" s="1"/>
  <c r="N70" i="1"/>
  <c r="J169" i="1"/>
  <c r="K169" i="1" s="1"/>
  <c r="L169" i="1" s="1"/>
  <c r="N169" i="1"/>
  <c r="I134" i="1"/>
  <c r="J67" i="1"/>
  <c r="K67" i="1" s="1"/>
  <c r="M67" i="1" s="1"/>
  <c r="N67" i="1"/>
  <c r="F144" i="1"/>
  <c r="G144" i="1" s="1"/>
  <c r="N89" i="1"/>
  <c r="N108" i="1"/>
  <c r="N84" i="1"/>
  <c r="J93" i="1"/>
  <c r="K93" i="1" s="1"/>
  <c r="L93" i="1" s="1"/>
  <c r="N93" i="1"/>
  <c r="F96" i="1"/>
  <c r="I96" i="1" s="1"/>
  <c r="N96" i="1" s="1"/>
  <c r="J21" i="1"/>
  <c r="K21" i="1" s="1"/>
  <c r="L21" i="1" s="1"/>
  <c r="N21" i="1"/>
  <c r="J118" i="1"/>
  <c r="K118" i="1" s="1"/>
  <c r="L118" i="1" s="1"/>
  <c r="N118" i="1"/>
  <c r="J85" i="1"/>
  <c r="K85" i="1" s="1"/>
  <c r="L85" i="1" s="1"/>
  <c r="N85" i="1"/>
  <c r="F38" i="1"/>
  <c r="G38" i="1" s="1"/>
  <c r="J141" i="1"/>
  <c r="K141" i="1" s="1"/>
  <c r="L141" i="1" s="1"/>
  <c r="N141" i="1"/>
  <c r="J190" i="1"/>
  <c r="K190" i="1" s="1"/>
  <c r="L190" i="1" s="1"/>
  <c r="N190" i="1"/>
  <c r="J200" i="1"/>
  <c r="K200" i="1" s="1"/>
  <c r="L200" i="1" s="1"/>
  <c r="N200" i="1"/>
  <c r="K60" i="1"/>
  <c r="L60" i="1" s="1"/>
  <c r="J138" i="1"/>
  <c r="K138" i="1" s="1"/>
  <c r="L138" i="1" s="1"/>
  <c r="N138" i="1"/>
  <c r="J19" i="1"/>
  <c r="K19" i="1" s="1"/>
  <c r="L19" i="1" s="1"/>
  <c r="N19" i="1"/>
  <c r="I97" i="1"/>
  <c r="J166" i="1"/>
  <c r="K166" i="1" s="1"/>
  <c r="L166" i="1" s="1"/>
  <c r="N166" i="1"/>
  <c r="J78" i="1"/>
  <c r="K78" i="1" s="1"/>
  <c r="L78" i="1" s="1"/>
  <c r="N78" i="1"/>
  <c r="J117" i="1"/>
  <c r="K117" i="1" s="1"/>
  <c r="L117" i="1" s="1"/>
  <c r="N117" i="1"/>
  <c r="J181" i="1"/>
  <c r="K181" i="1" s="1"/>
  <c r="L181" i="1" s="1"/>
  <c r="N181" i="1"/>
  <c r="J201" i="1"/>
  <c r="K201" i="1" s="1"/>
  <c r="L201" i="1" s="1"/>
  <c r="N201" i="1"/>
  <c r="J109" i="1"/>
  <c r="K109" i="1" s="1"/>
  <c r="L109" i="1" s="1"/>
  <c r="N109" i="1"/>
  <c r="K204" i="1"/>
  <c r="L204" i="1" s="1"/>
  <c r="J150" i="1"/>
  <c r="K150" i="1" s="1"/>
  <c r="L150" i="1" s="1"/>
  <c r="N150" i="1"/>
  <c r="J30" i="1"/>
  <c r="K30" i="1" s="1"/>
  <c r="L30" i="1" s="1"/>
  <c r="N30" i="1"/>
  <c r="J115" i="1"/>
  <c r="K115" i="1" s="1"/>
  <c r="L115" i="1" s="1"/>
  <c r="N115" i="1"/>
  <c r="J153" i="1"/>
  <c r="K153" i="1" s="1"/>
  <c r="L153" i="1" s="1"/>
  <c r="N153" i="1"/>
  <c r="F17" i="1"/>
  <c r="G17" i="1" s="1"/>
  <c r="N168" i="1"/>
  <c r="N49" i="1"/>
  <c r="N87" i="1"/>
  <c r="J199" i="1"/>
  <c r="K199" i="1" s="1"/>
  <c r="L199" i="1" s="1"/>
  <c r="N199" i="1"/>
  <c r="J165" i="1"/>
  <c r="K165" i="1" s="1"/>
  <c r="L165" i="1" s="1"/>
  <c r="N165" i="1"/>
  <c r="J176" i="1"/>
  <c r="K176" i="1" s="1"/>
  <c r="L176" i="1" s="1"/>
  <c r="N176" i="1"/>
  <c r="F37" i="1"/>
  <c r="I37" i="1" s="1"/>
  <c r="N37" i="1" s="1"/>
  <c r="N27" i="1"/>
  <c r="N182" i="1"/>
  <c r="N100" i="1"/>
  <c r="N59" i="1"/>
  <c r="J44" i="1"/>
  <c r="K44" i="1" s="1"/>
  <c r="L44" i="1" s="1"/>
  <c r="N44" i="1"/>
  <c r="J164" i="1"/>
  <c r="K164" i="1" s="1"/>
  <c r="N164" i="1"/>
  <c r="J175" i="1"/>
  <c r="K175" i="1" s="1"/>
  <c r="L175" i="1" s="1"/>
  <c r="N175" i="1"/>
  <c r="J22" i="1"/>
  <c r="K22" i="1" s="1"/>
  <c r="N22" i="1"/>
  <c r="J162" i="1"/>
  <c r="K162" i="1" s="1"/>
  <c r="L162" i="1" s="1"/>
  <c r="N162" i="1"/>
  <c r="J178" i="1"/>
  <c r="K178" i="1" s="1"/>
  <c r="L178" i="1" s="1"/>
  <c r="N178" i="1"/>
  <c r="J68" i="1"/>
  <c r="K68" i="1" s="1"/>
  <c r="L68" i="1" s="1"/>
  <c r="N68" i="1"/>
  <c r="J142" i="1"/>
  <c r="K142" i="1" s="1"/>
  <c r="L142" i="1" s="1"/>
  <c r="N142" i="1"/>
  <c r="J140" i="1"/>
  <c r="K140" i="1" s="1"/>
  <c r="L140" i="1" s="1"/>
  <c r="N140" i="1"/>
  <c r="J69" i="1"/>
  <c r="K69" i="1" s="1"/>
  <c r="L69" i="1" s="1"/>
  <c r="N69" i="1"/>
  <c r="J80" i="1"/>
  <c r="K80" i="1" s="1"/>
  <c r="L80" i="1" s="1"/>
  <c r="N80" i="1"/>
  <c r="J45" i="1"/>
  <c r="K45" i="1" s="1"/>
  <c r="L45" i="1" s="1"/>
  <c r="N45" i="1"/>
  <c r="J10" i="1"/>
  <c r="K10" i="1" s="1"/>
  <c r="L10" i="1" s="1"/>
  <c r="N10" i="1"/>
  <c r="J188" i="1"/>
  <c r="K188" i="1" s="1"/>
  <c r="L188" i="1" s="1"/>
  <c r="N188" i="1"/>
  <c r="J66" i="1"/>
  <c r="K66" i="1" s="1"/>
  <c r="L66" i="1" s="1"/>
  <c r="N66" i="1"/>
  <c r="J189" i="1"/>
  <c r="K189" i="1" s="1"/>
  <c r="L189" i="1" s="1"/>
  <c r="N189" i="1"/>
  <c r="I47" i="1"/>
  <c r="J91" i="1"/>
  <c r="K91" i="1" s="1"/>
  <c r="L91" i="1" s="1"/>
  <c r="N91" i="1"/>
  <c r="F160" i="1"/>
  <c r="I160" i="1" s="1"/>
  <c r="J160" i="1" s="1"/>
  <c r="N24" i="1"/>
  <c r="J56" i="1"/>
  <c r="K56" i="1" s="1"/>
  <c r="L56" i="1" s="1"/>
  <c r="N56" i="1"/>
  <c r="F73" i="1"/>
  <c r="G73" i="1" s="1"/>
  <c r="J193" i="1"/>
  <c r="K193" i="1" s="1"/>
  <c r="L193" i="1" s="1"/>
  <c r="N193" i="1"/>
  <c r="J106" i="1"/>
  <c r="K106" i="1" s="1"/>
  <c r="L106" i="1" s="1"/>
  <c r="N106" i="1"/>
  <c r="J197" i="1"/>
  <c r="K197" i="1" s="1"/>
  <c r="M197" i="1" s="1"/>
  <c r="N197" i="1"/>
  <c r="F113" i="1"/>
  <c r="I113" i="1" s="1"/>
  <c r="J113" i="1" s="1"/>
  <c r="F158" i="1"/>
  <c r="G158" i="1" s="1"/>
  <c r="K119" i="1"/>
  <c r="L119" i="1" s="1"/>
  <c r="K192" i="1"/>
  <c r="L192" i="1" s="1"/>
  <c r="K143" i="1"/>
  <c r="L143" i="1" s="1"/>
  <c r="K84" i="1"/>
  <c r="L84" i="1" s="1"/>
  <c r="K100" i="1"/>
  <c r="L100" i="1" s="1"/>
  <c r="K191" i="1"/>
  <c r="L191" i="1" s="1"/>
  <c r="K7" i="1"/>
  <c r="L7" i="1" s="1"/>
  <c r="K157" i="1"/>
  <c r="L157" i="1" s="1"/>
  <c r="K71" i="1"/>
  <c r="L71" i="1" s="1"/>
  <c r="K49" i="1"/>
  <c r="L49" i="1" s="1"/>
  <c r="K155" i="1"/>
  <c r="L155" i="1" s="1"/>
  <c r="K52" i="1"/>
  <c r="L52" i="1" s="1"/>
  <c r="K108" i="1"/>
  <c r="L108" i="1" s="1"/>
  <c r="J64" i="1"/>
  <c r="K64" i="1" s="1"/>
  <c r="L64" i="1" s="1"/>
  <c r="N131" i="1" l="1"/>
  <c r="N25" i="1"/>
  <c r="N191" i="1"/>
  <c r="N50" i="1"/>
  <c r="N123" i="1"/>
  <c r="N183" i="1"/>
  <c r="N195" i="1"/>
  <c r="N36" i="1"/>
  <c r="N194" i="1"/>
  <c r="N132" i="1"/>
  <c r="N35" i="1"/>
  <c r="N171" i="1"/>
  <c r="N95" i="1"/>
  <c r="N63" i="1"/>
  <c r="N11" i="1"/>
  <c r="N107" i="1"/>
  <c r="N65" i="1"/>
  <c r="N146" i="1"/>
  <c r="N179" i="1"/>
  <c r="N48" i="1"/>
  <c r="N23" i="1"/>
  <c r="M148" i="1"/>
  <c r="N83" i="1"/>
  <c r="N28" i="1"/>
  <c r="N51" i="1"/>
  <c r="N203" i="1"/>
  <c r="M87" i="1"/>
  <c r="M110" i="1"/>
  <c r="N40" i="1"/>
  <c r="N75" i="1"/>
  <c r="M51" i="1"/>
  <c r="M60" i="1"/>
  <c r="M115" i="1"/>
  <c r="N110" i="1"/>
  <c r="N196" i="1"/>
  <c r="N167" i="1"/>
  <c r="M118" i="1"/>
  <c r="N53" i="1"/>
  <c r="M70" i="1"/>
  <c r="N125" i="1"/>
  <c r="L101" i="1"/>
  <c r="M23" i="1"/>
  <c r="M127" i="1"/>
  <c r="N101" i="1"/>
  <c r="L122" i="1"/>
  <c r="M122" i="1"/>
  <c r="N122" i="1"/>
  <c r="M145" i="1"/>
  <c r="M205" i="1"/>
  <c r="M75" i="1"/>
  <c r="M48" i="1"/>
  <c r="N41" i="1"/>
  <c r="N172" i="1"/>
  <c r="N29" i="1"/>
  <c r="M132" i="1"/>
  <c r="M43" i="1"/>
  <c r="I111" i="1"/>
  <c r="N111" i="1" s="1"/>
  <c r="N135" i="1"/>
  <c r="M195" i="1"/>
  <c r="L198" i="1"/>
  <c r="N124" i="1"/>
  <c r="N161" i="1"/>
  <c r="M124" i="1"/>
  <c r="M104" i="1"/>
  <c r="I158" i="1"/>
  <c r="N158" i="1" s="1"/>
  <c r="M140" i="1"/>
  <c r="M81" i="1"/>
  <c r="M77" i="1"/>
  <c r="M63" i="1"/>
  <c r="M183" i="1"/>
  <c r="M66" i="1"/>
  <c r="M189" i="1"/>
  <c r="M46" i="1"/>
  <c r="M30" i="1"/>
  <c r="M204" i="1"/>
  <c r="M25" i="1"/>
  <c r="M135" i="1"/>
  <c r="M69" i="1"/>
  <c r="K86" i="1"/>
  <c r="L86" i="1" s="1"/>
  <c r="M117" i="1"/>
  <c r="M146" i="1"/>
  <c r="M80" i="1"/>
  <c r="M94" i="1"/>
  <c r="M177" i="1"/>
  <c r="M103" i="1"/>
  <c r="L103" i="1"/>
  <c r="N185" i="1"/>
  <c r="L197" i="1"/>
  <c r="M120" i="1"/>
  <c r="N72" i="1"/>
  <c r="M16" i="1"/>
  <c r="N156" i="1"/>
  <c r="K173" i="1"/>
  <c r="L173" i="1" s="1"/>
  <c r="N12" i="1"/>
  <c r="M19" i="1"/>
  <c r="G113" i="1"/>
  <c r="K113" i="1" s="1"/>
  <c r="L113" i="1" s="1"/>
  <c r="N16" i="1"/>
  <c r="N120" i="1"/>
  <c r="L168" i="1"/>
  <c r="M168" i="1"/>
  <c r="M130" i="1"/>
  <c r="M203" i="1"/>
  <c r="I38" i="1"/>
  <c r="J38" i="1" s="1"/>
  <c r="K38" i="1" s="1"/>
  <c r="L38" i="1" s="1"/>
  <c r="G160" i="1"/>
  <c r="K160" i="1" s="1"/>
  <c r="L160" i="1" s="1"/>
  <c r="M181" i="1"/>
  <c r="L133" i="1"/>
  <c r="N137" i="1"/>
  <c r="M185" i="1"/>
  <c r="N170" i="1"/>
  <c r="M33" i="1"/>
  <c r="J136" i="1"/>
  <c r="K136" i="1" s="1"/>
  <c r="L136" i="1" s="1"/>
  <c r="I88" i="1"/>
  <c r="J88" i="1" s="1"/>
  <c r="K88" i="1" s="1"/>
  <c r="L88" i="1" s="1"/>
  <c r="M194" i="1"/>
  <c r="G61" i="1"/>
  <c r="K61" i="1" s="1"/>
  <c r="L61" i="1" s="1"/>
  <c r="M201" i="1"/>
  <c r="N145" i="1"/>
  <c r="M32" i="1"/>
  <c r="M179" i="1"/>
  <c r="L116" i="1"/>
  <c r="M116" i="1"/>
  <c r="L62" i="1"/>
  <c r="M62" i="1"/>
  <c r="L89" i="1"/>
  <c r="M89" i="1"/>
  <c r="N61" i="1"/>
  <c r="M45" i="1"/>
  <c r="N149" i="1"/>
  <c r="M109" i="1"/>
  <c r="M190" i="1"/>
  <c r="N39" i="1"/>
  <c r="N62" i="1"/>
  <c r="M131" i="1"/>
  <c r="N184" i="1"/>
  <c r="M149" i="1"/>
  <c r="M187" i="1"/>
  <c r="M184" i="1"/>
  <c r="L54" i="1"/>
  <c r="M54" i="1"/>
  <c r="M72" i="1"/>
  <c r="M78" i="1"/>
  <c r="I73" i="1"/>
  <c r="J73" i="1" s="1"/>
  <c r="K73" i="1" s="1"/>
  <c r="L73" i="1" s="1"/>
  <c r="I159" i="1"/>
  <c r="J159" i="1" s="1"/>
  <c r="K159" i="1" s="1"/>
  <c r="M21" i="1"/>
  <c r="M153" i="1"/>
  <c r="M192" i="1"/>
  <c r="I144" i="1"/>
  <c r="J144" i="1" s="1"/>
  <c r="K144" i="1" s="1"/>
  <c r="L144" i="1" s="1"/>
  <c r="J99" i="1"/>
  <c r="K99" i="1" s="1"/>
  <c r="N99" i="1"/>
  <c r="M10" i="1"/>
  <c r="M176" i="1"/>
  <c r="M95" i="1"/>
  <c r="N14" i="1"/>
  <c r="M68" i="1"/>
  <c r="N74" i="1"/>
  <c r="I17" i="1"/>
  <c r="J17" i="1" s="1"/>
  <c r="K17" i="1" s="1"/>
  <c r="L17" i="1" s="1"/>
  <c r="G96" i="1"/>
  <c r="M74" i="1"/>
  <c r="M29" i="1"/>
  <c r="L121" i="1"/>
  <c r="M175" i="1"/>
  <c r="M13" i="1"/>
  <c r="M166" i="1"/>
  <c r="N160" i="1"/>
  <c r="L139" i="1"/>
  <c r="M139" i="1"/>
  <c r="L22" i="1"/>
  <c r="M22" i="1"/>
  <c r="L164" i="1"/>
  <c r="M164" i="1"/>
  <c r="M39" i="1"/>
  <c r="J98" i="1"/>
  <c r="K98" i="1" s="1"/>
  <c r="N98" i="1"/>
  <c r="J112" i="1"/>
  <c r="K112" i="1" s="1"/>
  <c r="N112" i="1"/>
  <c r="J147" i="1"/>
  <c r="K147" i="1" s="1"/>
  <c r="L147" i="1" s="1"/>
  <c r="N147" i="1"/>
  <c r="M188" i="1"/>
  <c r="J47" i="1"/>
  <c r="K47" i="1" s="1"/>
  <c r="N47" i="1"/>
  <c r="J26" i="1"/>
  <c r="K26" i="1" s="1"/>
  <c r="N26" i="1"/>
  <c r="M92" i="1"/>
  <c r="N113" i="1"/>
  <c r="M152" i="1"/>
  <c r="M8" i="1"/>
  <c r="M142" i="1"/>
  <c r="M137" i="1"/>
  <c r="J97" i="1"/>
  <c r="K97" i="1" s="1"/>
  <c r="N97" i="1"/>
  <c r="M150" i="1"/>
  <c r="M138" i="1"/>
  <c r="M85" i="1"/>
  <c r="M169" i="1"/>
  <c r="G37" i="1"/>
  <c r="J134" i="1"/>
  <c r="K134" i="1" s="1"/>
  <c r="N134" i="1"/>
  <c r="J76" i="1"/>
  <c r="K76" i="1" s="1"/>
  <c r="L76" i="1" s="1"/>
  <c r="N76" i="1"/>
  <c r="M65" i="1"/>
  <c r="M100" i="1"/>
  <c r="M119" i="1"/>
  <c r="M154" i="1"/>
  <c r="M129" i="1"/>
  <c r="M180" i="1"/>
  <c r="M143" i="1"/>
  <c r="M206" i="1"/>
  <c r="M106" i="1"/>
  <c r="M53" i="1"/>
  <c r="M178" i="1"/>
  <c r="M162" i="1"/>
  <c r="M105" i="1"/>
  <c r="M157" i="1"/>
  <c r="M57" i="1"/>
  <c r="M55" i="1"/>
  <c r="M93" i="1"/>
  <c r="M202" i="1"/>
  <c r="M174" i="1"/>
  <c r="M170" i="1"/>
  <c r="M102" i="1"/>
  <c r="M82" i="1"/>
  <c r="M84" i="1"/>
  <c r="M28" i="1"/>
  <c r="M58" i="1"/>
  <c r="M27" i="1"/>
  <c r="M56" i="1"/>
  <c r="M42" i="1"/>
  <c r="M199" i="1"/>
  <c r="M165" i="1"/>
  <c r="M172" i="1"/>
  <c r="M114" i="1"/>
  <c r="M49" i="1"/>
  <c r="M34" i="1"/>
  <c r="M12" i="1"/>
  <c r="M186" i="1"/>
  <c r="M161" i="1"/>
  <c r="M79" i="1"/>
  <c r="M83" i="1"/>
  <c r="M167" i="1"/>
  <c r="M44" i="1"/>
  <c r="M11" i="1"/>
  <c r="L163" i="1"/>
  <c r="M36" i="1"/>
  <c r="M128" i="1"/>
  <c r="M155" i="1"/>
  <c r="M191" i="1"/>
  <c r="M125" i="1"/>
  <c r="L123" i="1"/>
  <c r="M50" i="1"/>
  <c r="M59" i="1"/>
  <c r="M108" i="1"/>
  <c r="M126" i="1"/>
  <c r="M156" i="1"/>
  <c r="M7" i="1"/>
  <c r="M90" i="1"/>
  <c r="M141" i="1"/>
  <c r="M151" i="1"/>
  <c r="M182" i="1"/>
  <c r="M24" i="1"/>
  <c r="L67" i="1"/>
  <c r="M71" i="1"/>
  <c r="M171" i="1"/>
  <c r="M196" i="1"/>
  <c r="M107" i="1"/>
  <c r="M200" i="1"/>
  <c r="M193" i="1"/>
  <c r="M15" i="1"/>
  <c r="M41" i="1"/>
  <c r="M20" i="1"/>
  <c r="M18" i="1"/>
  <c r="M52" i="1"/>
  <c r="M40" i="1"/>
  <c r="L40" i="1"/>
  <c r="M35" i="1"/>
  <c r="M31" i="1"/>
  <c r="M14" i="1"/>
  <c r="M91" i="1"/>
  <c r="M9" i="1"/>
  <c r="J96" i="1"/>
  <c r="J37" i="1"/>
  <c r="M64" i="1"/>
  <c r="J111" i="1" l="1"/>
  <c r="K111" i="1" s="1"/>
  <c r="L111" i="1" s="1"/>
  <c r="M160" i="1"/>
  <c r="J158" i="1"/>
  <c r="K158" i="1" s="1"/>
  <c r="L158" i="1" s="1"/>
  <c r="M136" i="1"/>
  <c r="N38" i="1"/>
  <c r="M86" i="1"/>
  <c r="M173" i="1"/>
  <c r="M61" i="1"/>
  <c r="N88" i="1"/>
  <c r="M76" i="1"/>
  <c r="M17" i="1"/>
  <c r="M147" i="1"/>
  <c r="M144" i="1"/>
  <c r="N73" i="1"/>
  <c r="N159" i="1"/>
  <c r="L159" i="1"/>
  <c r="M159" i="1"/>
  <c r="N17" i="1"/>
  <c r="L99" i="1"/>
  <c r="M99" i="1"/>
  <c r="N144" i="1"/>
  <c r="K96" i="1"/>
  <c r="L96" i="1" s="1"/>
  <c r="L98" i="1"/>
  <c r="M98" i="1"/>
  <c r="L26" i="1"/>
  <c r="M26" i="1"/>
  <c r="L97" i="1"/>
  <c r="M97" i="1"/>
  <c r="L47" i="1"/>
  <c r="M47" i="1"/>
  <c r="L112" i="1"/>
  <c r="M112" i="1"/>
  <c r="M73" i="1"/>
  <c r="L134" i="1"/>
  <c r="M134" i="1"/>
  <c r="K37" i="1"/>
  <c r="L37" i="1" s="1"/>
  <c r="M113" i="1"/>
  <c r="M38" i="1"/>
  <c r="M88" i="1"/>
  <c r="M111" i="1" l="1"/>
  <c r="M158" i="1"/>
  <c r="M96" i="1"/>
  <c r="M37" i="1"/>
  <c r="E1" i="1"/>
  <c r="E2" i="1" s="1"/>
  <c r="E4" i="1" s="1"/>
</calcChain>
</file>

<file path=xl/sharedStrings.xml><?xml version="1.0" encoding="utf-8"?>
<sst xmlns="http://schemas.openxmlformats.org/spreadsheetml/2006/main" count="34" uniqueCount="34">
  <si>
    <t>Frequency</t>
  </si>
  <si>
    <t>Inductance</t>
  </si>
  <si>
    <t>Vin</t>
  </si>
  <si>
    <t>Duty</t>
  </si>
  <si>
    <t>Vout</t>
  </si>
  <si>
    <t>Ripple Current (A)</t>
  </si>
  <si>
    <t>Irms</t>
  </si>
  <si>
    <t>Imin</t>
  </si>
  <si>
    <t>Imax</t>
  </si>
  <si>
    <t>Pout</t>
  </si>
  <si>
    <t>Energy/Cycle</t>
  </si>
  <si>
    <t>Time On</t>
  </si>
  <si>
    <t>Idc</t>
  </si>
  <si>
    <t>Edc</t>
  </si>
  <si>
    <t>E Capacitor</t>
  </si>
  <si>
    <t>Ripple Voltage</t>
  </si>
  <si>
    <t>Capacitor</t>
  </si>
  <si>
    <t>Ein vs Eout</t>
  </si>
  <si>
    <t>Num 10uF @ 29V DC Bias</t>
  </si>
  <si>
    <t>Area of 1210 package</t>
  </si>
  <si>
    <t>Board Area (mm2)</t>
  </si>
  <si>
    <t>Capacitance (F)</t>
  </si>
  <si>
    <t>GCM32EC71H106KA03L</t>
  </si>
  <si>
    <t>Suitable Cap</t>
  </si>
  <si>
    <t xml:space="preserve"> +80% Duty Cycle @ 10A 15kHz</t>
  </si>
  <si>
    <t>0.5V Ripple</t>
  </si>
  <si>
    <t>40 Capacitors</t>
  </si>
  <si>
    <t>200uF</t>
  </si>
  <si>
    <t>RMS Capacitor Current</t>
  </si>
  <si>
    <t>22DIAM</t>
  </si>
  <si>
    <t>LGW2G271MELZ50</t>
  </si>
  <si>
    <t>270uF Cap</t>
  </si>
  <si>
    <t>ADI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</si>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</sst>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" fillId="0" borderId="0" xfId="1"/>
    <xf numFmtId="16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12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Current vs Duty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746241008989001E-2"/>
          <c:y val="8.0620208905375065E-2"/>
          <c:w val="0.88812710545361939"/>
          <c:h val="0.823036995820968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Ripple 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Sheet1!$C$7:$C$206</c:f>
              <c:numCache>
                <c:formatCode>General</c:formatCode>
                <c:ptCount val="200"/>
                <c:pt idx="0">
                  <c:v>4.8755E-2</c:v>
                </c:pt>
                <c:pt idx="1">
                  <c:v>9.7019999999999995E-2</c:v>
                </c:pt>
                <c:pt idx="2">
                  <c:v>0.14479499999999998</c:v>
                </c:pt>
                <c:pt idx="3">
                  <c:v>0.19208</c:v>
                </c:pt>
                <c:pt idx="4">
                  <c:v>0.23887500000000003</c:v>
                </c:pt>
                <c:pt idx="5">
                  <c:v>0.28517999999999993</c:v>
                </c:pt>
                <c:pt idx="6">
                  <c:v>0.33099499999999998</c:v>
                </c:pt>
                <c:pt idx="7">
                  <c:v>0.37631999999999999</c:v>
                </c:pt>
                <c:pt idx="8">
                  <c:v>0.42115499999999995</c:v>
                </c:pt>
                <c:pt idx="9">
                  <c:v>0.46550000000000002</c:v>
                </c:pt>
                <c:pt idx="10">
                  <c:v>0.50935499999999989</c:v>
                </c:pt>
                <c:pt idx="11">
                  <c:v>0.55271999999999999</c:v>
                </c:pt>
                <c:pt idx="12">
                  <c:v>0.59559499999999999</c:v>
                </c:pt>
                <c:pt idx="13">
                  <c:v>0.6379800000000001</c:v>
                </c:pt>
                <c:pt idx="14">
                  <c:v>0.67987500000000001</c:v>
                </c:pt>
                <c:pt idx="15">
                  <c:v>0.72128000000000003</c:v>
                </c:pt>
                <c:pt idx="16">
                  <c:v>0.76219500000000007</c:v>
                </c:pt>
                <c:pt idx="17">
                  <c:v>0.80262</c:v>
                </c:pt>
                <c:pt idx="18">
                  <c:v>0.84255499999999994</c:v>
                </c:pt>
                <c:pt idx="19">
                  <c:v>0.88200000000000001</c:v>
                </c:pt>
                <c:pt idx="20">
                  <c:v>0.92095499999999986</c:v>
                </c:pt>
                <c:pt idx="21">
                  <c:v>0.95941999999999983</c:v>
                </c:pt>
                <c:pt idx="22">
                  <c:v>0.99739500000000003</c:v>
                </c:pt>
                <c:pt idx="23">
                  <c:v>1.03488</c:v>
                </c:pt>
                <c:pt idx="24">
                  <c:v>1.0718749999999999</c:v>
                </c:pt>
                <c:pt idx="25">
                  <c:v>1.1083800000000001</c:v>
                </c:pt>
                <c:pt idx="26">
                  <c:v>1.1443950000000001</c:v>
                </c:pt>
                <c:pt idx="27">
                  <c:v>1.1799200000000001</c:v>
                </c:pt>
                <c:pt idx="28">
                  <c:v>1.214955</c:v>
                </c:pt>
                <c:pt idx="29">
                  <c:v>1.2494999999999998</c:v>
                </c:pt>
                <c:pt idx="30">
                  <c:v>1.283555</c:v>
                </c:pt>
                <c:pt idx="31">
                  <c:v>1.3171199999999998</c:v>
                </c:pt>
                <c:pt idx="32">
                  <c:v>1.350195</c:v>
                </c:pt>
                <c:pt idx="33">
                  <c:v>1.3827800000000001</c:v>
                </c:pt>
                <c:pt idx="34">
                  <c:v>1.4148749999999997</c:v>
                </c:pt>
                <c:pt idx="35">
                  <c:v>1.4464799999999995</c:v>
                </c:pt>
                <c:pt idx="36">
                  <c:v>1.477595</c:v>
                </c:pt>
                <c:pt idx="37">
                  <c:v>1.5082199999999999</c:v>
                </c:pt>
                <c:pt idx="38">
                  <c:v>1.5383549999999999</c:v>
                </c:pt>
                <c:pt idx="39">
                  <c:v>1.5679999999999998</c:v>
                </c:pt>
                <c:pt idx="40">
                  <c:v>1.5971549999999999</c:v>
                </c:pt>
                <c:pt idx="41">
                  <c:v>1.6258199999999998</c:v>
                </c:pt>
                <c:pt idx="42">
                  <c:v>1.6539950000000001</c:v>
                </c:pt>
                <c:pt idx="43">
                  <c:v>1.6816799999999998</c:v>
                </c:pt>
                <c:pt idx="44">
                  <c:v>1.7088749999999999</c:v>
                </c:pt>
                <c:pt idx="45">
                  <c:v>1.7355799999999999</c:v>
                </c:pt>
                <c:pt idx="46">
                  <c:v>1.761795</c:v>
                </c:pt>
                <c:pt idx="47">
                  <c:v>1.78752</c:v>
                </c:pt>
                <c:pt idx="48">
                  <c:v>1.8127549999999999</c:v>
                </c:pt>
                <c:pt idx="49">
                  <c:v>1.8374999999999997</c:v>
                </c:pt>
                <c:pt idx="50">
                  <c:v>1.8617549999999998</c:v>
                </c:pt>
                <c:pt idx="51">
                  <c:v>1.8855199999999999</c:v>
                </c:pt>
                <c:pt idx="52">
                  <c:v>1.9087949999999998</c:v>
                </c:pt>
                <c:pt idx="53">
                  <c:v>1.9315800000000001</c:v>
                </c:pt>
                <c:pt idx="54">
                  <c:v>1.953875</c:v>
                </c:pt>
                <c:pt idx="55">
                  <c:v>1.9756800000000003</c:v>
                </c:pt>
                <c:pt idx="56">
                  <c:v>1.9969949999999999</c:v>
                </c:pt>
                <c:pt idx="57">
                  <c:v>2.0178199999999999</c:v>
                </c:pt>
                <c:pt idx="58">
                  <c:v>2.0381550000000002</c:v>
                </c:pt>
                <c:pt idx="59">
                  <c:v>2.0579999999999998</c:v>
                </c:pt>
                <c:pt idx="60">
                  <c:v>2.0773549999999998</c:v>
                </c:pt>
                <c:pt idx="61">
                  <c:v>2.0962200000000002</c:v>
                </c:pt>
                <c:pt idx="62">
                  <c:v>2.114595</c:v>
                </c:pt>
                <c:pt idx="63">
                  <c:v>2.1324799999999997</c:v>
                </c:pt>
                <c:pt idx="64">
                  <c:v>2.1498750000000002</c:v>
                </c:pt>
                <c:pt idx="65">
                  <c:v>2.1667800000000002</c:v>
                </c:pt>
                <c:pt idx="66">
                  <c:v>2.183195</c:v>
                </c:pt>
                <c:pt idx="67">
                  <c:v>2.1991199999999997</c:v>
                </c:pt>
                <c:pt idx="68">
                  <c:v>2.2145549999999994</c:v>
                </c:pt>
                <c:pt idx="69">
                  <c:v>2.2294999999999998</c:v>
                </c:pt>
                <c:pt idx="70">
                  <c:v>2.2439550000000001</c:v>
                </c:pt>
                <c:pt idx="71">
                  <c:v>2.2579199999999999</c:v>
                </c:pt>
                <c:pt idx="72">
                  <c:v>2.2713949999999996</c:v>
                </c:pt>
                <c:pt idx="73">
                  <c:v>2.2843800000000001</c:v>
                </c:pt>
                <c:pt idx="74">
                  <c:v>2.296875</c:v>
                </c:pt>
                <c:pt idx="75">
                  <c:v>2.3088800000000003</c:v>
                </c:pt>
                <c:pt idx="76">
                  <c:v>2.320395</c:v>
                </c:pt>
                <c:pt idx="77">
                  <c:v>2.33142</c:v>
                </c:pt>
                <c:pt idx="78">
                  <c:v>2.341955</c:v>
                </c:pt>
                <c:pt idx="79">
                  <c:v>2.3520000000000003</c:v>
                </c:pt>
                <c:pt idx="80">
                  <c:v>2.3615550000000001</c:v>
                </c:pt>
                <c:pt idx="81">
                  <c:v>2.3706199999999997</c:v>
                </c:pt>
                <c:pt idx="82">
                  <c:v>2.3791949999999997</c:v>
                </c:pt>
                <c:pt idx="83">
                  <c:v>2.3872800000000001</c:v>
                </c:pt>
                <c:pt idx="84">
                  <c:v>2.3948750000000003</c:v>
                </c:pt>
                <c:pt idx="85">
                  <c:v>2.4019799999999996</c:v>
                </c:pt>
                <c:pt idx="86">
                  <c:v>2.4085949999999996</c:v>
                </c:pt>
                <c:pt idx="87">
                  <c:v>2.4147199999999995</c:v>
                </c:pt>
                <c:pt idx="88">
                  <c:v>2.4203550000000003</c:v>
                </c:pt>
                <c:pt idx="89">
                  <c:v>2.4255</c:v>
                </c:pt>
                <c:pt idx="90">
                  <c:v>2.4301549999999996</c:v>
                </c:pt>
                <c:pt idx="91">
                  <c:v>2.43432</c:v>
                </c:pt>
                <c:pt idx="92">
                  <c:v>2.4379949999999999</c:v>
                </c:pt>
                <c:pt idx="93">
                  <c:v>2.4411799999999997</c:v>
                </c:pt>
                <c:pt idx="94">
                  <c:v>2.4438749999999998</c:v>
                </c:pt>
                <c:pt idx="95">
                  <c:v>2.4460799999999998</c:v>
                </c:pt>
                <c:pt idx="96">
                  <c:v>2.4477949999999997</c:v>
                </c:pt>
                <c:pt idx="97">
                  <c:v>2.44902</c:v>
                </c:pt>
                <c:pt idx="98">
                  <c:v>2.4497550000000001</c:v>
                </c:pt>
                <c:pt idx="99">
                  <c:v>2.4499999999999997</c:v>
                </c:pt>
                <c:pt idx="100">
                  <c:v>2.4497550000000001</c:v>
                </c:pt>
                <c:pt idx="101">
                  <c:v>2.44902</c:v>
                </c:pt>
                <c:pt idx="102">
                  <c:v>2.4477949999999997</c:v>
                </c:pt>
                <c:pt idx="103">
                  <c:v>2.4460799999999998</c:v>
                </c:pt>
                <c:pt idx="104">
                  <c:v>2.4438749999999998</c:v>
                </c:pt>
                <c:pt idx="105">
                  <c:v>2.4411799999999997</c:v>
                </c:pt>
                <c:pt idx="106">
                  <c:v>2.4379949999999995</c:v>
                </c:pt>
                <c:pt idx="107">
                  <c:v>2.43432</c:v>
                </c:pt>
                <c:pt idx="108">
                  <c:v>2.4301550000000001</c:v>
                </c:pt>
                <c:pt idx="109">
                  <c:v>2.4254999999999995</c:v>
                </c:pt>
                <c:pt idx="110">
                  <c:v>2.4203549999999998</c:v>
                </c:pt>
                <c:pt idx="111">
                  <c:v>2.4147199999999995</c:v>
                </c:pt>
                <c:pt idx="112">
                  <c:v>2.408595</c:v>
                </c:pt>
                <c:pt idx="113">
                  <c:v>2.4019799999999996</c:v>
                </c:pt>
                <c:pt idx="114">
                  <c:v>2.3948749999999999</c:v>
                </c:pt>
                <c:pt idx="115">
                  <c:v>2.3872799999999996</c:v>
                </c:pt>
                <c:pt idx="116">
                  <c:v>2.3791949999999997</c:v>
                </c:pt>
                <c:pt idx="117">
                  <c:v>2.3706200000000002</c:v>
                </c:pt>
                <c:pt idx="118">
                  <c:v>2.3615549999999996</c:v>
                </c:pt>
                <c:pt idx="119">
                  <c:v>2.3520000000000003</c:v>
                </c:pt>
                <c:pt idx="120">
                  <c:v>2.341955</c:v>
                </c:pt>
                <c:pt idx="121">
                  <c:v>2.33142</c:v>
                </c:pt>
                <c:pt idx="122">
                  <c:v>2.320395</c:v>
                </c:pt>
                <c:pt idx="123">
                  <c:v>2.3088799999999998</c:v>
                </c:pt>
                <c:pt idx="124">
                  <c:v>2.2968749999999996</c:v>
                </c:pt>
                <c:pt idx="125">
                  <c:v>2.2843800000000001</c:v>
                </c:pt>
                <c:pt idx="126">
                  <c:v>2.2713949999999996</c:v>
                </c:pt>
                <c:pt idx="127">
                  <c:v>2.2579199999999999</c:v>
                </c:pt>
                <c:pt idx="128">
                  <c:v>2.2439549999999993</c:v>
                </c:pt>
                <c:pt idx="129">
                  <c:v>2.2294999999999998</c:v>
                </c:pt>
                <c:pt idx="130">
                  <c:v>2.2145549999999994</c:v>
                </c:pt>
                <c:pt idx="131">
                  <c:v>2.1991199999999997</c:v>
                </c:pt>
                <c:pt idx="132">
                  <c:v>2.183195</c:v>
                </c:pt>
                <c:pt idx="133">
                  <c:v>2.1667799999999997</c:v>
                </c:pt>
                <c:pt idx="134">
                  <c:v>2.1498750000000002</c:v>
                </c:pt>
                <c:pt idx="135">
                  <c:v>2.1324799999999997</c:v>
                </c:pt>
                <c:pt idx="136">
                  <c:v>2.114595</c:v>
                </c:pt>
                <c:pt idx="137">
                  <c:v>2.0962200000000002</c:v>
                </c:pt>
                <c:pt idx="138">
                  <c:v>2.0773550000000003</c:v>
                </c:pt>
                <c:pt idx="139">
                  <c:v>2.0579999999999998</c:v>
                </c:pt>
                <c:pt idx="140">
                  <c:v>2.0381550000000002</c:v>
                </c:pt>
                <c:pt idx="141">
                  <c:v>2.0178199999999999</c:v>
                </c:pt>
                <c:pt idx="142">
                  <c:v>1.9969950000000003</c:v>
                </c:pt>
                <c:pt idx="143">
                  <c:v>1.9756799999999997</c:v>
                </c:pt>
                <c:pt idx="144">
                  <c:v>1.953875</c:v>
                </c:pt>
                <c:pt idx="145">
                  <c:v>1.9315799999999996</c:v>
                </c:pt>
                <c:pt idx="146">
                  <c:v>1.9087950000000002</c:v>
                </c:pt>
                <c:pt idx="147">
                  <c:v>1.8855199999999996</c:v>
                </c:pt>
                <c:pt idx="148">
                  <c:v>1.8617549999999998</c:v>
                </c:pt>
                <c:pt idx="149">
                  <c:v>1.8375000000000004</c:v>
                </c:pt>
                <c:pt idx="150">
                  <c:v>1.8127549999999999</c:v>
                </c:pt>
                <c:pt idx="151">
                  <c:v>1.7875200000000004</c:v>
                </c:pt>
                <c:pt idx="152">
                  <c:v>1.7617949999999996</c:v>
                </c:pt>
                <c:pt idx="153">
                  <c:v>1.7355800000000003</c:v>
                </c:pt>
                <c:pt idx="154">
                  <c:v>1.7088749999999997</c:v>
                </c:pt>
                <c:pt idx="155">
                  <c:v>1.6816800000000001</c:v>
                </c:pt>
                <c:pt idx="156">
                  <c:v>1.6539949999999994</c:v>
                </c:pt>
                <c:pt idx="157">
                  <c:v>1.62582</c:v>
                </c:pt>
                <c:pt idx="158">
                  <c:v>1.5971549999999992</c:v>
                </c:pt>
                <c:pt idx="159">
                  <c:v>1.5679999999999998</c:v>
                </c:pt>
                <c:pt idx="160">
                  <c:v>1.5383549999999993</c:v>
                </c:pt>
                <c:pt idx="161">
                  <c:v>1.5082199999999997</c:v>
                </c:pt>
                <c:pt idx="162">
                  <c:v>1.477595</c:v>
                </c:pt>
                <c:pt idx="163">
                  <c:v>1.4464800000000002</c:v>
                </c:pt>
                <c:pt idx="164">
                  <c:v>1.4148749999999997</c:v>
                </c:pt>
                <c:pt idx="165">
                  <c:v>1.3827800000000003</c:v>
                </c:pt>
                <c:pt idx="166">
                  <c:v>1.3501949999999996</c:v>
                </c:pt>
                <c:pt idx="167">
                  <c:v>1.3171200000000001</c:v>
                </c:pt>
                <c:pt idx="168">
                  <c:v>1.2835550000000004</c:v>
                </c:pt>
                <c:pt idx="169">
                  <c:v>1.2495000000000001</c:v>
                </c:pt>
                <c:pt idx="170">
                  <c:v>1.2149550000000005</c:v>
                </c:pt>
                <c:pt idx="171">
                  <c:v>1.1799199999999999</c:v>
                </c:pt>
                <c:pt idx="172">
                  <c:v>1.1443950000000003</c:v>
                </c:pt>
                <c:pt idx="173">
                  <c:v>1.1083799999999997</c:v>
                </c:pt>
                <c:pt idx="174">
                  <c:v>1.0718750000000001</c:v>
                </c:pt>
                <c:pt idx="175">
                  <c:v>1.0348799999999996</c:v>
                </c:pt>
                <c:pt idx="176">
                  <c:v>0.99739500000000003</c:v>
                </c:pt>
                <c:pt idx="177">
                  <c:v>0.95941999999999938</c:v>
                </c:pt>
                <c:pt idx="178">
                  <c:v>0.92095499999999986</c:v>
                </c:pt>
                <c:pt idx="179">
                  <c:v>0.88199999999999934</c:v>
                </c:pt>
                <c:pt idx="180">
                  <c:v>0.84255499999999983</c:v>
                </c:pt>
                <c:pt idx="181">
                  <c:v>0.80261999999999922</c:v>
                </c:pt>
                <c:pt idx="182">
                  <c:v>0.76219499999999962</c:v>
                </c:pt>
                <c:pt idx="183">
                  <c:v>0.72128000000000014</c:v>
                </c:pt>
                <c:pt idx="184">
                  <c:v>0.67987499999999956</c:v>
                </c:pt>
                <c:pt idx="185">
                  <c:v>0.63797999999999999</c:v>
                </c:pt>
                <c:pt idx="186">
                  <c:v>0.59559499999999932</c:v>
                </c:pt>
                <c:pt idx="187">
                  <c:v>0.55272000000000088</c:v>
                </c:pt>
                <c:pt idx="188">
                  <c:v>0.50935500000000022</c:v>
                </c:pt>
                <c:pt idx="189">
                  <c:v>0.46550000000000075</c:v>
                </c:pt>
                <c:pt idx="190">
                  <c:v>0.42115500000000011</c:v>
                </c:pt>
                <c:pt idx="191">
                  <c:v>0.3763200000000006</c:v>
                </c:pt>
                <c:pt idx="192">
                  <c:v>0.33099499999999998</c:v>
                </c:pt>
                <c:pt idx="193">
                  <c:v>0.28518000000000049</c:v>
                </c:pt>
                <c:pt idx="194">
                  <c:v>0.23887499999999981</c:v>
                </c:pt>
                <c:pt idx="195">
                  <c:v>0.19208000000000033</c:v>
                </c:pt>
                <c:pt idx="196">
                  <c:v>0.14479499999999965</c:v>
                </c:pt>
                <c:pt idx="197">
                  <c:v>9.7020000000000162E-2</c:v>
                </c:pt>
                <c:pt idx="198">
                  <c:v>4.8754999999999493E-2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5-4BA9-9D26-A38D2109CBB3}"/>
            </c:ext>
          </c:extLst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Imax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Sheet1!$E$7:$E$206</c:f>
              <c:numCache>
                <c:formatCode>General</c:formatCode>
                <c:ptCount val="200"/>
                <c:pt idx="0">
                  <c:v>12.048755</c:v>
                </c:pt>
                <c:pt idx="1">
                  <c:v>12.097020000000001</c:v>
                </c:pt>
                <c:pt idx="2">
                  <c:v>12.144795</c:v>
                </c:pt>
                <c:pt idx="3">
                  <c:v>12.192080000000001</c:v>
                </c:pt>
                <c:pt idx="4">
                  <c:v>12.238875</c:v>
                </c:pt>
                <c:pt idx="5">
                  <c:v>12.28518</c:v>
                </c:pt>
                <c:pt idx="6">
                  <c:v>12.330995</c:v>
                </c:pt>
                <c:pt idx="7">
                  <c:v>12.37632</c:v>
                </c:pt>
                <c:pt idx="8">
                  <c:v>12.421155000000001</c:v>
                </c:pt>
                <c:pt idx="9">
                  <c:v>12.4655</c:v>
                </c:pt>
                <c:pt idx="10">
                  <c:v>12.509354999999999</c:v>
                </c:pt>
                <c:pt idx="11">
                  <c:v>12.552720000000001</c:v>
                </c:pt>
                <c:pt idx="12">
                  <c:v>12.595594999999999</c:v>
                </c:pt>
                <c:pt idx="13">
                  <c:v>12.637980000000001</c:v>
                </c:pt>
                <c:pt idx="14">
                  <c:v>12.679874999999999</c:v>
                </c:pt>
                <c:pt idx="15">
                  <c:v>12.72128</c:v>
                </c:pt>
                <c:pt idx="16">
                  <c:v>12.762195</c:v>
                </c:pt>
                <c:pt idx="17">
                  <c:v>12.802619999999999</c:v>
                </c:pt>
                <c:pt idx="18">
                  <c:v>12.842555000000001</c:v>
                </c:pt>
                <c:pt idx="19">
                  <c:v>12.882</c:v>
                </c:pt>
                <c:pt idx="20">
                  <c:v>12.920954999999999</c:v>
                </c:pt>
                <c:pt idx="21">
                  <c:v>12.95942</c:v>
                </c:pt>
                <c:pt idx="22">
                  <c:v>12.997395000000001</c:v>
                </c:pt>
                <c:pt idx="23">
                  <c:v>13.034879999999999</c:v>
                </c:pt>
                <c:pt idx="24">
                  <c:v>13.071875</c:v>
                </c:pt>
                <c:pt idx="25">
                  <c:v>13.10838</c:v>
                </c:pt>
                <c:pt idx="26">
                  <c:v>13.144394999999999</c:v>
                </c:pt>
                <c:pt idx="27">
                  <c:v>13.179919999999999</c:v>
                </c:pt>
                <c:pt idx="28">
                  <c:v>13.214955</c:v>
                </c:pt>
                <c:pt idx="29">
                  <c:v>13.249499999999999</c:v>
                </c:pt>
                <c:pt idx="30">
                  <c:v>13.283555</c:v>
                </c:pt>
                <c:pt idx="31">
                  <c:v>13.317119999999999</c:v>
                </c:pt>
                <c:pt idx="32">
                  <c:v>13.350194999999999</c:v>
                </c:pt>
                <c:pt idx="33">
                  <c:v>13.38278</c:v>
                </c:pt>
                <c:pt idx="34">
                  <c:v>13.414875</c:v>
                </c:pt>
                <c:pt idx="35">
                  <c:v>13.446479999999999</c:v>
                </c:pt>
                <c:pt idx="36">
                  <c:v>13.477595000000001</c:v>
                </c:pt>
                <c:pt idx="37">
                  <c:v>13.50822</c:v>
                </c:pt>
                <c:pt idx="38">
                  <c:v>13.538354999999999</c:v>
                </c:pt>
                <c:pt idx="39">
                  <c:v>13.568</c:v>
                </c:pt>
                <c:pt idx="40">
                  <c:v>13.597155000000001</c:v>
                </c:pt>
                <c:pt idx="41">
                  <c:v>13.625819999999999</c:v>
                </c:pt>
                <c:pt idx="42">
                  <c:v>13.653995</c:v>
                </c:pt>
                <c:pt idx="43">
                  <c:v>13.68168</c:v>
                </c:pt>
                <c:pt idx="44">
                  <c:v>13.708874999999999</c:v>
                </c:pt>
                <c:pt idx="45">
                  <c:v>13.735580000000001</c:v>
                </c:pt>
                <c:pt idx="46">
                  <c:v>13.761794999999999</c:v>
                </c:pt>
                <c:pt idx="47">
                  <c:v>13.787520000000001</c:v>
                </c:pt>
                <c:pt idx="48">
                  <c:v>13.812754999999999</c:v>
                </c:pt>
                <c:pt idx="49">
                  <c:v>13.8375</c:v>
                </c:pt>
                <c:pt idx="50">
                  <c:v>13.861755</c:v>
                </c:pt>
                <c:pt idx="51">
                  <c:v>13.88552</c:v>
                </c:pt>
                <c:pt idx="52">
                  <c:v>13.908795</c:v>
                </c:pt>
                <c:pt idx="53">
                  <c:v>13.93158</c:v>
                </c:pt>
                <c:pt idx="54">
                  <c:v>13.953875</c:v>
                </c:pt>
                <c:pt idx="55">
                  <c:v>13.975680000000001</c:v>
                </c:pt>
                <c:pt idx="56">
                  <c:v>13.996995</c:v>
                </c:pt>
                <c:pt idx="57">
                  <c:v>14.01782</c:v>
                </c:pt>
                <c:pt idx="58">
                  <c:v>14.038155</c:v>
                </c:pt>
                <c:pt idx="59">
                  <c:v>14.058</c:v>
                </c:pt>
                <c:pt idx="60">
                  <c:v>14.077355000000001</c:v>
                </c:pt>
                <c:pt idx="61">
                  <c:v>14.096220000000001</c:v>
                </c:pt>
                <c:pt idx="62">
                  <c:v>14.114595</c:v>
                </c:pt>
                <c:pt idx="63">
                  <c:v>14.132479999999999</c:v>
                </c:pt>
                <c:pt idx="64">
                  <c:v>14.149875</c:v>
                </c:pt>
                <c:pt idx="65">
                  <c:v>14.166779999999999</c:v>
                </c:pt>
                <c:pt idx="66">
                  <c:v>14.183195</c:v>
                </c:pt>
                <c:pt idx="67">
                  <c:v>14.199120000000001</c:v>
                </c:pt>
                <c:pt idx="68">
                  <c:v>14.214554999999999</c:v>
                </c:pt>
                <c:pt idx="69">
                  <c:v>14.2295</c:v>
                </c:pt>
                <c:pt idx="70">
                  <c:v>14.243955</c:v>
                </c:pt>
                <c:pt idx="71">
                  <c:v>14.25792</c:v>
                </c:pt>
                <c:pt idx="72">
                  <c:v>14.271395</c:v>
                </c:pt>
                <c:pt idx="73">
                  <c:v>14.284380000000001</c:v>
                </c:pt>
                <c:pt idx="74">
                  <c:v>14.296875</c:v>
                </c:pt>
                <c:pt idx="75">
                  <c:v>14.30888</c:v>
                </c:pt>
                <c:pt idx="76">
                  <c:v>14.320395</c:v>
                </c:pt>
                <c:pt idx="77">
                  <c:v>14.33142</c:v>
                </c:pt>
                <c:pt idx="78">
                  <c:v>14.341955</c:v>
                </c:pt>
                <c:pt idx="79">
                  <c:v>14.352</c:v>
                </c:pt>
                <c:pt idx="80">
                  <c:v>14.361554999999999</c:v>
                </c:pt>
                <c:pt idx="81">
                  <c:v>14.370619999999999</c:v>
                </c:pt>
                <c:pt idx="82">
                  <c:v>14.379194999999999</c:v>
                </c:pt>
                <c:pt idx="83">
                  <c:v>14.387280000000001</c:v>
                </c:pt>
                <c:pt idx="84">
                  <c:v>14.394875000000001</c:v>
                </c:pt>
                <c:pt idx="85">
                  <c:v>14.40198</c:v>
                </c:pt>
                <c:pt idx="86">
                  <c:v>14.408595</c:v>
                </c:pt>
                <c:pt idx="87">
                  <c:v>14.414719999999999</c:v>
                </c:pt>
                <c:pt idx="88">
                  <c:v>14.420355000000001</c:v>
                </c:pt>
                <c:pt idx="89">
                  <c:v>14.4255</c:v>
                </c:pt>
                <c:pt idx="90">
                  <c:v>14.430154999999999</c:v>
                </c:pt>
                <c:pt idx="91">
                  <c:v>14.43432</c:v>
                </c:pt>
                <c:pt idx="92">
                  <c:v>14.437995000000001</c:v>
                </c:pt>
                <c:pt idx="93">
                  <c:v>14.441179999999999</c:v>
                </c:pt>
                <c:pt idx="94">
                  <c:v>14.443875</c:v>
                </c:pt>
                <c:pt idx="95">
                  <c:v>14.44608</c:v>
                </c:pt>
                <c:pt idx="96">
                  <c:v>14.447794999999999</c:v>
                </c:pt>
                <c:pt idx="97">
                  <c:v>14.449020000000001</c:v>
                </c:pt>
                <c:pt idx="98">
                  <c:v>14.449755</c:v>
                </c:pt>
                <c:pt idx="99">
                  <c:v>14.45</c:v>
                </c:pt>
                <c:pt idx="100">
                  <c:v>14.449755</c:v>
                </c:pt>
                <c:pt idx="101">
                  <c:v>14.449020000000001</c:v>
                </c:pt>
                <c:pt idx="102">
                  <c:v>14.447794999999999</c:v>
                </c:pt>
                <c:pt idx="103">
                  <c:v>14.44608</c:v>
                </c:pt>
                <c:pt idx="104">
                  <c:v>14.443875</c:v>
                </c:pt>
                <c:pt idx="105">
                  <c:v>14.441179999999999</c:v>
                </c:pt>
                <c:pt idx="106">
                  <c:v>14.437994999999999</c:v>
                </c:pt>
                <c:pt idx="107">
                  <c:v>14.43432</c:v>
                </c:pt>
                <c:pt idx="108">
                  <c:v>14.430154999999999</c:v>
                </c:pt>
                <c:pt idx="109">
                  <c:v>14.4255</c:v>
                </c:pt>
                <c:pt idx="110">
                  <c:v>14.420355000000001</c:v>
                </c:pt>
                <c:pt idx="111">
                  <c:v>14.414719999999999</c:v>
                </c:pt>
                <c:pt idx="112">
                  <c:v>14.408595</c:v>
                </c:pt>
                <c:pt idx="113">
                  <c:v>14.40198</c:v>
                </c:pt>
                <c:pt idx="114">
                  <c:v>14.394874999999999</c:v>
                </c:pt>
                <c:pt idx="115">
                  <c:v>14.387280000000001</c:v>
                </c:pt>
                <c:pt idx="116">
                  <c:v>14.379194999999999</c:v>
                </c:pt>
                <c:pt idx="117">
                  <c:v>14.370620000000001</c:v>
                </c:pt>
                <c:pt idx="118">
                  <c:v>14.361554999999999</c:v>
                </c:pt>
                <c:pt idx="119">
                  <c:v>14.352</c:v>
                </c:pt>
                <c:pt idx="120">
                  <c:v>14.341955</c:v>
                </c:pt>
                <c:pt idx="121">
                  <c:v>14.33142</c:v>
                </c:pt>
                <c:pt idx="122">
                  <c:v>14.320395</c:v>
                </c:pt>
                <c:pt idx="123">
                  <c:v>14.30888</c:v>
                </c:pt>
                <c:pt idx="124">
                  <c:v>14.296875</c:v>
                </c:pt>
                <c:pt idx="125">
                  <c:v>14.284380000000001</c:v>
                </c:pt>
                <c:pt idx="126">
                  <c:v>14.271395</c:v>
                </c:pt>
                <c:pt idx="127">
                  <c:v>14.25792</c:v>
                </c:pt>
                <c:pt idx="128">
                  <c:v>14.243955</c:v>
                </c:pt>
                <c:pt idx="129">
                  <c:v>14.2295</c:v>
                </c:pt>
                <c:pt idx="130">
                  <c:v>14.214554999999999</c:v>
                </c:pt>
                <c:pt idx="131">
                  <c:v>14.199120000000001</c:v>
                </c:pt>
                <c:pt idx="132">
                  <c:v>14.183195</c:v>
                </c:pt>
                <c:pt idx="133">
                  <c:v>14.166779999999999</c:v>
                </c:pt>
                <c:pt idx="134">
                  <c:v>14.149875</c:v>
                </c:pt>
                <c:pt idx="135">
                  <c:v>14.132479999999999</c:v>
                </c:pt>
                <c:pt idx="136">
                  <c:v>14.114595</c:v>
                </c:pt>
                <c:pt idx="137">
                  <c:v>14.096220000000001</c:v>
                </c:pt>
                <c:pt idx="138">
                  <c:v>14.077355000000001</c:v>
                </c:pt>
                <c:pt idx="139">
                  <c:v>14.058</c:v>
                </c:pt>
                <c:pt idx="140">
                  <c:v>14.038155</c:v>
                </c:pt>
                <c:pt idx="141">
                  <c:v>14.01782</c:v>
                </c:pt>
                <c:pt idx="142">
                  <c:v>13.996995</c:v>
                </c:pt>
                <c:pt idx="143">
                  <c:v>13.975680000000001</c:v>
                </c:pt>
                <c:pt idx="144">
                  <c:v>13.953875</c:v>
                </c:pt>
                <c:pt idx="145">
                  <c:v>13.93158</c:v>
                </c:pt>
                <c:pt idx="146">
                  <c:v>13.908795</c:v>
                </c:pt>
                <c:pt idx="147">
                  <c:v>13.88552</c:v>
                </c:pt>
                <c:pt idx="148">
                  <c:v>13.861755</c:v>
                </c:pt>
                <c:pt idx="149">
                  <c:v>13.8375</c:v>
                </c:pt>
                <c:pt idx="150">
                  <c:v>13.812754999999999</c:v>
                </c:pt>
                <c:pt idx="151">
                  <c:v>13.787520000000001</c:v>
                </c:pt>
                <c:pt idx="152">
                  <c:v>13.761794999999999</c:v>
                </c:pt>
                <c:pt idx="153">
                  <c:v>13.735580000000001</c:v>
                </c:pt>
                <c:pt idx="154">
                  <c:v>13.708874999999999</c:v>
                </c:pt>
                <c:pt idx="155">
                  <c:v>13.68168</c:v>
                </c:pt>
                <c:pt idx="156">
                  <c:v>13.653995</c:v>
                </c:pt>
                <c:pt idx="157">
                  <c:v>13.625820000000001</c:v>
                </c:pt>
                <c:pt idx="158">
                  <c:v>13.597154999999999</c:v>
                </c:pt>
                <c:pt idx="159">
                  <c:v>13.568</c:v>
                </c:pt>
                <c:pt idx="160">
                  <c:v>13.538354999999999</c:v>
                </c:pt>
                <c:pt idx="161">
                  <c:v>13.50822</c:v>
                </c:pt>
                <c:pt idx="162">
                  <c:v>13.477595000000001</c:v>
                </c:pt>
                <c:pt idx="163">
                  <c:v>13.446480000000001</c:v>
                </c:pt>
                <c:pt idx="164">
                  <c:v>13.414875</c:v>
                </c:pt>
                <c:pt idx="165">
                  <c:v>13.38278</c:v>
                </c:pt>
                <c:pt idx="166">
                  <c:v>13.350194999999999</c:v>
                </c:pt>
                <c:pt idx="167">
                  <c:v>13.317119999999999</c:v>
                </c:pt>
                <c:pt idx="168">
                  <c:v>13.283555</c:v>
                </c:pt>
                <c:pt idx="169">
                  <c:v>13.249499999999999</c:v>
                </c:pt>
                <c:pt idx="170">
                  <c:v>13.214955</c:v>
                </c:pt>
                <c:pt idx="171">
                  <c:v>13.179919999999999</c:v>
                </c:pt>
                <c:pt idx="172">
                  <c:v>13.144394999999999</c:v>
                </c:pt>
                <c:pt idx="173">
                  <c:v>13.10838</c:v>
                </c:pt>
                <c:pt idx="174">
                  <c:v>13.071875</c:v>
                </c:pt>
                <c:pt idx="175">
                  <c:v>13.034879999999999</c:v>
                </c:pt>
                <c:pt idx="176">
                  <c:v>12.997395000000001</c:v>
                </c:pt>
                <c:pt idx="177">
                  <c:v>12.95942</c:v>
                </c:pt>
                <c:pt idx="178">
                  <c:v>12.920954999999999</c:v>
                </c:pt>
                <c:pt idx="179">
                  <c:v>12.882</c:v>
                </c:pt>
                <c:pt idx="180">
                  <c:v>12.842554999999999</c:v>
                </c:pt>
                <c:pt idx="181">
                  <c:v>12.802619999999999</c:v>
                </c:pt>
                <c:pt idx="182">
                  <c:v>12.762195</c:v>
                </c:pt>
                <c:pt idx="183">
                  <c:v>12.72128</c:v>
                </c:pt>
                <c:pt idx="184">
                  <c:v>12.679874999999999</c:v>
                </c:pt>
                <c:pt idx="185">
                  <c:v>12.637980000000001</c:v>
                </c:pt>
                <c:pt idx="186">
                  <c:v>12.595594999999999</c:v>
                </c:pt>
                <c:pt idx="187">
                  <c:v>12.552720000000001</c:v>
                </c:pt>
                <c:pt idx="188">
                  <c:v>12.509354999999999</c:v>
                </c:pt>
                <c:pt idx="189">
                  <c:v>12.4655</c:v>
                </c:pt>
                <c:pt idx="190">
                  <c:v>12.421155000000001</c:v>
                </c:pt>
                <c:pt idx="191">
                  <c:v>12.37632</c:v>
                </c:pt>
                <c:pt idx="192">
                  <c:v>12.330995</c:v>
                </c:pt>
                <c:pt idx="193">
                  <c:v>12.28518</c:v>
                </c:pt>
                <c:pt idx="194">
                  <c:v>12.238875</c:v>
                </c:pt>
                <c:pt idx="195">
                  <c:v>12.192080000000001</c:v>
                </c:pt>
                <c:pt idx="196">
                  <c:v>12.144795</c:v>
                </c:pt>
                <c:pt idx="197">
                  <c:v>12.097020000000001</c:v>
                </c:pt>
                <c:pt idx="198">
                  <c:v>12.048755</c:v>
                </c:pt>
                <c:pt idx="199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35-4BA9-9D26-A38D2109CBB3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Imin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Sheet1!$D$7:$D$206</c:f>
              <c:numCache>
                <c:formatCode>General</c:formatCode>
                <c:ptCount val="200"/>
                <c:pt idx="0">
                  <c:v>11.951245</c:v>
                </c:pt>
                <c:pt idx="1">
                  <c:v>11.902979999999999</c:v>
                </c:pt>
                <c:pt idx="2">
                  <c:v>11.855205</c:v>
                </c:pt>
                <c:pt idx="3">
                  <c:v>11.807919999999999</c:v>
                </c:pt>
                <c:pt idx="4">
                  <c:v>11.761125</c:v>
                </c:pt>
                <c:pt idx="5">
                  <c:v>11.71482</c:v>
                </c:pt>
                <c:pt idx="6">
                  <c:v>11.669005</c:v>
                </c:pt>
                <c:pt idx="7">
                  <c:v>11.62368</c:v>
                </c:pt>
                <c:pt idx="8">
                  <c:v>11.578844999999999</c:v>
                </c:pt>
                <c:pt idx="9">
                  <c:v>11.5345</c:v>
                </c:pt>
                <c:pt idx="10">
                  <c:v>11.490645000000001</c:v>
                </c:pt>
                <c:pt idx="11">
                  <c:v>11.447279999999999</c:v>
                </c:pt>
                <c:pt idx="12">
                  <c:v>11.404405000000001</c:v>
                </c:pt>
                <c:pt idx="13">
                  <c:v>11.362019999999999</c:v>
                </c:pt>
                <c:pt idx="14">
                  <c:v>11.320125000000001</c:v>
                </c:pt>
                <c:pt idx="15">
                  <c:v>11.27872</c:v>
                </c:pt>
                <c:pt idx="16">
                  <c:v>11.237805</c:v>
                </c:pt>
                <c:pt idx="17">
                  <c:v>11.197380000000001</c:v>
                </c:pt>
                <c:pt idx="18">
                  <c:v>11.157444999999999</c:v>
                </c:pt>
                <c:pt idx="19">
                  <c:v>11.118</c:v>
                </c:pt>
                <c:pt idx="20">
                  <c:v>11.079045000000001</c:v>
                </c:pt>
                <c:pt idx="21">
                  <c:v>11.04058</c:v>
                </c:pt>
                <c:pt idx="22">
                  <c:v>11.002604999999999</c:v>
                </c:pt>
                <c:pt idx="23">
                  <c:v>10.965120000000001</c:v>
                </c:pt>
                <c:pt idx="24">
                  <c:v>10.928125</c:v>
                </c:pt>
                <c:pt idx="25">
                  <c:v>10.89162</c:v>
                </c:pt>
                <c:pt idx="26">
                  <c:v>10.855605000000001</c:v>
                </c:pt>
                <c:pt idx="27">
                  <c:v>10.820080000000001</c:v>
                </c:pt>
                <c:pt idx="28">
                  <c:v>10.785045</c:v>
                </c:pt>
                <c:pt idx="29">
                  <c:v>10.750500000000001</c:v>
                </c:pt>
                <c:pt idx="30">
                  <c:v>10.716445</c:v>
                </c:pt>
                <c:pt idx="31">
                  <c:v>10.682880000000001</c:v>
                </c:pt>
                <c:pt idx="32">
                  <c:v>10.649805000000001</c:v>
                </c:pt>
                <c:pt idx="33">
                  <c:v>10.61722</c:v>
                </c:pt>
                <c:pt idx="34">
                  <c:v>10.585125</c:v>
                </c:pt>
                <c:pt idx="35">
                  <c:v>10.553520000000001</c:v>
                </c:pt>
                <c:pt idx="36">
                  <c:v>10.522404999999999</c:v>
                </c:pt>
                <c:pt idx="37">
                  <c:v>10.49178</c:v>
                </c:pt>
                <c:pt idx="38">
                  <c:v>10.461645000000001</c:v>
                </c:pt>
                <c:pt idx="39">
                  <c:v>10.432</c:v>
                </c:pt>
                <c:pt idx="40">
                  <c:v>10.402844999999999</c:v>
                </c:pt>
                <c:pt idx="41">
                  <c:v>10.374180000000001</c:v>
                </c:pt>
                <c:pt idx="42">
                  <c:v>10.346005</c:v>
                </c:pt>
                <c:pt idx="43">
                  <c:v>10.31832</c:v>
                </c:pt>
                <c:pt idx="44">
                  <c:v>10.291125000000001</c:v>
                </c:pt>
                <c:pt idx="45">
                  <c:v>10.264419999999999</c:v>
                </c:pt>
                <c:pt idx="46">
                  <c:v>10.238205000000001</c:v>
                </c:pt>
                <c:pt idx="47">
                  <c:v>10.212479999999999</c:v>
                </c:pt>
                <c:pt idx="48">
                  <c:v>10.187245000000001</c:v>
                </c:pt>
                <c:pt idx="49">
                  <c:v>10.1625</c:v>
                </c:pt>
                <c:pt idx="50">
                  <c:v>10.138245</c:v>
                </c:pt>
                <c:pt idx="51">
                  <c:v>10.11448</c:v>
                </c:pt>
                <c:pt idx="52">
                  <c:v>10.091205</c:v>
                </c:pt>
                <c:pt idx="53">
                  <c:v>10.06842</c:v>
                </c:pt>
                <c:pt idx="54">
                  <c:v>10.046125</c:v>
                </c:pt>
                <c:pt idx="55">
                  <c:v>10.024319999999999</c:v>
                </c:pt>
                <c:pt idx="56">
                  <c:v>10.003005</c:v>
                </c:pt>
                <c:pt idx="57">
                  <c:v>9.9821799999999996</c:v>
                </c:pt>
                <c:pt idx="58">
                  <c:v>9.9618450000000003</c:v>
                </c:pt>
                <c:pt idx="59">
                  <c:v>9.9420000000000002</c:v>
                </c:pt>
                <c:pt idx="60">
                  <c:v>9.9226449999999993</c:v>
                </c:pt>
                <c:pt idx="61">
                  <c:v>9.9037799999999994</c:v>
                </c:pt>
                <c:pt idx="62">
                  <c:v>9.8854050000000004</c:v>
                </c:pt>
                <c:pt idx="63">
                  <c:v>9.8675200000000007</c:v>
                </c:pt>
                <c:pt idx="64">
                  <c:v>9.8501250000000002</c:v>
                </c:pt>
                <c:pt idx="65">
                  <c:v>9.8332200000000007</c:v>
                </c:pt>
                <c:pt idx="66">
                  <c:v>9.8168050000000004</c:v>
                </c:pt>
                <c:pt idx="67">
                  <c:v>9.8008799999999994</c:v>
                </c:pt>
                <c:pt idx="68">
                  <c:v>9.7854450000000011</c:v>
                </c:pt>
                <c:pt idx="69">
                  <c:v>9.7705000000000002</c:v>
                </c:pt>
                <c:pt idx="70">
                  <c:v>9.7560450000000003</c:v>
                </c:pt>
                <c:pt idx="71">
                  <c:v>9.7420799999999996</c:v>
                </c:pt>
                <c:pt idx="72">
                  <c:v>9.7286049999999999</c:v>
                </c:pt>
                <c:pt idx="73">
                  <c:v>9.7156199999999995</c:v>
                </c:pt>
                <c:pt idx="74">
                  <c:v>9.703125</c:v>
                </c:pt>
                <c:pt idx="75">
                  <c:v>9.6911199999999997</c:v>
                </c:pt>
                <c:pt idx="76">
                  <c:v>9.6796050000000005</c:v>
                </c:pt>
                <c:pt idx="77">
                  <c:v>9.6685800000000004</c:v>
                </c:pt>
                <c:pt idx="78">
                  <c:v>9.6580449999999995</c:v>
                </c:pt>
                <c:pt idx="79">
                  <c:v>9.6479999999999997</c:v>
                </c:pt>
                <c:pt idx="80">
                  <c:v>9.6384450000000008</c:v>
                </c:pt>
                <c:pt idx="81">
                  <c:v>9.6293800000000012</c:v>
                </c:pt>
                <c:pt idx="82">
                  <c:v>9.6208050000000007</c:v>
                </c:pt>
                <c:pt idx="83">
                  <c:v>9.6127199999999995</c:v>
                </c:pt>
                <c:pt idx="84">
                  <c:v>9.6051249999999992</c:v>
                </c:pt>
                <c:pt idx="85">
                  <c:v>9.59802</c:v>
                </c:pt>
                <c:pt idx="86">
                  <c:v>9.591405</c:v>
                </c:pt>
                <c:pt idx="87">
                  <c:v>9.5852800000000009</c:v>
                </c:pt>
                <c:pt idx="88">
                  <c:v>9.5796449999999993</c:v>
                </c:pt>
                <c:pt idx="89">
                  <c:v>9.5745000000000005</c:v>
                </c:pt>
                <c:pt idx="90">
                  <c:v>9.5698450000000008</c:v>
                </c:pt>
                <c:pt idx="91">
                  <c:v>9.5656800000000004</c:v>
                </c:pt>
                <c:pt idx="92">
                  <c:v>9.5620049999999992</c:v>
                </c:pt>
                <c:pt idx="93">
                  <c:v>9.5588200000000008</c:v>
                </c:pt>
                <c:pt idx="94">
                  <c:v>9.5561249999999998</c:v>
                </c:pt>
                <c:pt idx="95">
                  <c:v>9.5539199999999997</c:v>
                </c:pt>
                <c:pt idx="96">
                  <c:v>9.5522050000000007</c:v>
                </c:pt>
                <c:pt idx="97">
                  <c:v>9.5509799999999991</c:v>
                </c:pt>
                <c:pt idx="98">
                  <c:v>9.5502450000000003</c:v>
                </c:pt>
                <c:pt idx="99">
                  <c:v>9.5500000000000007</c:v>
                </c:pt>
                <c:pt idx="100">
                  <c:v>9.5502450000000003</c:v>
                </c:pt>
                <c:pt idx="101">
                  <c:v>9.5509799999999991</c:v>
                </c:pt>
                <c:pt idx="102">
                  <c:v>9.5522050000000007</c:v>
                </c:pt>
                <c:pt idx="103">
                  <c:v>9.5539199999999997</c:v>
                </c:pt>
                <c:pt idx="104">
                  <c:v>9.5561249999999998</c:v>
                </c:pt>
                <c:pt idx="105">
                  <c:v>9.5588200000000008</c:v>
                </c:pt>
                <c:pt idx="106">
                  <c:v>9.562005000000001</c:v>
                </c:pt>
                <c:pt idx="107">
                  <c:v>9.5656800000000004</c:v>
                </c:pt>
                <c:pt idx="108">
                  <c:v>9.5698450000000008</c:v>
                </c:pt>
                <c:pt idx="109">
                  <c:v>9.5745000000000005</c:v>
                </c:pt>
                <c:pt idx="110">
                  <c:v>9.5796449999999993</c:v>
                </c:pt>
                <c:pt idx="111">
                  <c:v>9.5852800000000009</c:v>
                </c:pt>
                <c:pt idx="112">
                  <c:v>9.591405</c:v>
                </c:pt>
                <c:pt idx="113">
                  <c:v>9.59802</c:v>
                </c:pt>
                <c:pt idx="114">
                  <c:v>9.605125000000001</c:v>
                </c:pt>
                <c:pt idx="115">
                  <c:v>9.6127199999999995</c:v>
                </c:pt>
                <c:pt idx="116">
                  <c:v>9.6208050000000007</c:v>
                </c:pt>
                <c:pt idx="117">
                  <c:v>9.6293799999999994</c:v>
                </c:pt>
                <c:pt idx="118">
                  <c:v>9.6384450000000008</c:v>
                </c:pt>
                <c:pt idx="119">
                  <c:v>9.6479999999999997</c:v>
                </c:pt>
                <c:pt idx="120">
                  <c:v>9.6580449999999995</c:v>
                </c:pt>
                <c:pt idx="121">
                  <c:v>9.6685800000000004</c:v>
                </c:pt>
                <c:pt idx="122">
                  <c:v>9.6796050000000005</c:v>
                </c:pt>
                <c:pt idx="123">
                  <c:v>9.6911199999999997</c:v>
                </c:pt>
                <c:pt idx="124">
                  <c:v>9.703125</c:v>
                </c:pt>
                <c:pt idx="125">
                  <c:v>9.7156199999999995</c:v>
                </c:pt>
                <c:pt idx="126">
                  <c:v>9.7286049999999999</c:v>
                </c:pt>
                <c:pt idx="127">
                  <c:v>9.7420799999999996</c:v>
                </c:pt>
                <c:pt idx="128">
                  <c:v>9.7560450000000003</c:v>
                </c:pt>
                <c:pt idx="129">
                  <c:v>9.7705000000000002</c:v>
                </c:pt>
                <c:pt idx="130">
                  <c:v>9.7854450000000011</c:v>
                </c:pt>
                <c:pt idx="131">
                  <c:v>9.8008799999999994</c:v>
                </c:pt>
                <c:pt idx="132">
                  <c:v>9.8168050000000004</c:v>
                </c:pt>
                <c:pt idx="133">
                  <c:v>9.8332200000000007</c:v>
                </c:pt>
                <c:pt idx="134">
                  <c:v>9.8501250000000002</c:v>
                </c:pt>
                <c:pt idx="135">
                  <c:v>9.8675200000000007</c:v>
                </c:pt>
                <c:pt idx="136">
                  <c:v>9.8854050000000004</c:v>
                </c:pt>
                <c:pt idx="137">
                  <c:v>9.9037799999999994</c:v>
                </c:pt>
                <c:pt idx="138">
                  <c:v>9.9226449999999993</c:v>
                </c:pt>
                <c:pt idx="139">
                  <c:v>9.9420000000000002</c:v>
                </c:pt>
                <c:pt idx="140">
                  <c:v>9.9618450000000003</c:v>
                </c:pt>
                <c:pt idx="141">
                  <c:v>9.9821799999999996</c:v>
                </c:pt>
                <c:pt idx="142">
                  <c:v>10.003005</c:v>
                </c:pt>
                <c:pt idx="143">
                  <c:v>10.024319999999999</c:v>
                </c:pt>
                <c:pt idx="144">
                  <c:v>10.046125</c:v>
                </c:pt>
                <c:pt idx="145">
                  <c:v>10.06842</c:v>
                </c:pt>
                <c:pt idx="146">
                  <c:v>10.091205</c:v>
                </c:pt>
                <c:pt idx="147">
                  <c:v>10.11448</c:v>
                </c:pt>
                <c:pt idx="148">
                  <c:v>10.138245</c:v>
                </c:pt>
                <c:pt idx="149">
                  <c:v>10.1625</c:v>
                </c:pt>
                <c:pt idx="150">
                  <c:v>10.187245000000001</c:v>
                </c:pt>
                <c:pt idx="151">
                  <c:v>10.212479999999999</c:v>
                </c:pt>
                <c:pt idx="152">
                  <c:v>10.238205000000001</c:v>
                </c:pt>
                <c:pt idx="153">
                  <c:v>10.264419999999999</c:v>
                </c:pt>
                <c:pt idx="154">
                  <c:v>10.291125000000001</c:v>
                </c:pt>
                <c:pt idx="155">
                  <c:v>10.31832</c:v>
                </c:pt>
                <c:pt idx="156">
                  <c:v>10.346005</c:v>
                </c:pt>
                <c:pt idx="157">
                  <c:v>10.374179999999999</c:v>
                </c:pt>
                <c:pt idx="158">
                  <c:v>10.402845000000001</c:v>
                </c:pt>
                <c:pt idx="159">
                  <c:v>10.432</c:v>
                </c:pt>
                <c:pt idx="160">
                  <c:v>10.461645000000001</c:v>
                </c:pt>
                <c:pt idx="161">
                  <c:v>10.49178</c:v>
                </c:pt>
                <c:pt idx="162">
                  <c:v>10.522404999999999</c:v>
                </c:pt>
                <c:pt idx="163">
                  <c:v>10.553519999999999</c:v>
                </c:pt>
                <c:pt idx="164">
                  <c:v>10.585125</c:v>
                </c:pt>
                <c:pt idx="165">
                  <c:v>10.61722</c:v>
                </c:pt>
                <c:pt idx="166">
                  <c:v>10.649805000000001</c:v>
                </c:pt>
                <c:pt idx="167">
                  <c:v>10.682880000000001</c:v>
                </c:pt>
                <c:pt idx="168">
                  <c:v>10.716445</c:v>
                </c:pt>
                <c:pt idx="169">
                  <c:v>10.750500000000001</c:v>
                </c:pt>
                <c:pt idx="170">
                  <c:v>10.785045</c:v>
                </c:pt>
                <c:pt idx="171">
                  <c:v>10.820080000000001</c:v>
                </c:pt>
                <c:pt idx="172">
                  <c:v>10.855605000000001</c:v>
                </c:pt>
                <c:pt idx="173">
                  <c:v>10.89162</c:v>
                </c:pt>
                <c:pt idx="174">
                  <c:v>10.928125</c:v>
                </c:pt>
                <c:pt idx="175">
                  <c:v>10.965120000000001</c:v>
                </c:pt>
                <c:pt idx="176">
                  <c:v>11.002604999999999</c:v>
                </c:pt>
                <c:pt idx="177">
                  <c:v>11.04058</c:v>
                </c:pt>
                <c:pt idx="178">
                  <c:v>11.079045000000001</c:v>
                </c:pt>
                <c:pt idx="179">
                  <c:v>11.118</c:v>
                </c:pt>
                <c:pt idx="180">
                  <c:v>11.157445000000001</c:v>
                </c:pt>
                <c:pt idx="181">
                  <c:v>11.197380000000001</c:v>
                </c:pt>
                <c:pt idx="182">
                  <c:v>11.237805</c:v>
                </c:pt>
                <c:pt idx="183">
                  <c:v>11.27872</c:v>
                </c:pt>
                <c:pt idx="184">
                  <c:v>11.320125000000001</c:v>
                </c:pt>
                <c:pt idx="185">
                  <c:v>11.362019999999999</c:v>
                </c:pt>
                <c:pt idx="186">
                  <c:v>11.404405000000001</c:v>
                </c:pt>
                <c:pt idx="187">
                  <c:v>11.447279999999999</c:v>
                </c:pt>
                <c:pt idx="188">
                  <c:v>11.490645000000001</c:v>
                </c:pt>
                <c:pt idx="189">
                  <c:v>11.5345</c:v>
                </c:pt>
                <c:pt idx="190">
                  <c:v>11.578844999999999</c:v>
                </c:pt>
                <c:pt idx="191">
                  <c:v>11.62368</c:v>
                </c:pt>
                <c:pt idx="192">
                  <c:v>11.669005</c:v>
                </c:pt>
                <c:pt idx="193">
                  <c:v>11.71482</c:v>
                </c:pt>
                <c:pt idx="194">
                  <c:v>11.761125</c:v>
                </c:pt>
                <c:pt idx="195">
                  <c:v>11.807919999999999</c:v>
                </c:pt>
                <c:pt idx="196">
                  <c:v>11.855205</c:v>
                </c:pt>
                <c:pt idx="197">
                  <c:v>11.902979999999999</c:v>
                </c:pt>
                <c:pt idx="198">
                  <c:v>11.951245</c:v>
                </c:pt>
                <c:pt idx="199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35-4BA9-9D26-A38D2109CBB3}"/>
            </c:ext>
          </c:extLst>
        </c:ser>
        <c:ser>
          <c:idx val="3"/>
          <c:order val="3"/>
          <c:tx>
            <c:strRef>
              <c:f>Sheet1!$I$6</c:f>
              <c:strCache>
                <c:ptCount val="1"/>
                <c:pt idx="0">
                  <c:v>Idc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Sheet1!$I$7:$I$206</c:f>
              <c:numCache>
                <c:formatCode>0.00E+00</c:formatCode>
                <c:ptCount val="200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  <c:pt idx="4">
                  <c:v>0.30000000000000004</c:v>
                </c:pt>
                <c:pt idx="5">
                  <c:v>0.36</c:v>
                </c:pt>
                <c:pt idx="6">
                  <c:v>0.4200000000000001</c:v>
                </c:pt>
                <c:pt idx="7">
                  <c:v>0.48</c:v>
                </c:pt>
                <c:pt idx="8">
                  <c:v>0.54</c:v>
                </c:pt>
                <c:pt idx="9">
                  <c:v>0.60000000000000009</c:v>
                </c:pt>
                <c:pt idx="10">
                  <c:v>0.66</c:v>
                </c:pt>
                <c:pt idx="11">
                  <c:v>0.72</c:v>
                </c:pt>
                <c:pt idx="12">
                  <c:v>0.78000000000000014</c:v>
                </c:pt>
                <c:pt idx="13">
                  <c:v>0.84000000000000019</c:v>
                </c:pt>
                <c:pt idx="14">
                  <c:v>0.8999999999999998</c:v>
                </c:pt>
                <c:pt idx="15">
                  <c:v>0.96</c:v>
                </c:pt>
                <c:pt idx="16">
                  <c:v>1.02</c:v>
                </c:pt>
                <c:pt idx="17">
                  <c:v>1.08</c:v>
                </c:pt>
                <c:pt idx="18">
                  <c:v>1.1399999999999999</c:v>
                </c:pt>
                <c:pt idx="19">
                  <c:v>1.2000000000000002</c:v>
                </c:pt>
                <c:pt idx="20">
                  <c:v>1.26</c:v>
                </c:pt>
                <c:pt idx="21">
                  <c:v>1.32</c:v>
                </c:pt>
                <c:pt idx="22">
                  <c:v>1.38</c:v>
                </c:pt>
                <c:pt idx="23">
                  <c:v>1.44</c:v>
                </c:pt>
                <c:pt idx="24">
                  <c:v>1.4999999999999998</c:v>
                </c:pt>
                <c:pt idx="25">
                  <c:v>1.5600000000000003</c:v>
                </c:pt>
                <c:pt idx="26">
                  <c:v>1.62</c:v>
                </c:pt>
                <c:pt idx="27">
                  <c:v>1.6800000000000004</c:v>
                </c:pt>
                <c:pt idx="28">
                  <c:v>1.74</c:v>
                </c:pt>
                <c:pt idx="29">
                  <c:v>1.7999999999999996</c:v>
                </c:pt>
                <c:pt idx="30">
                  <c:v>1.86</c:v>
                </c:pt>
                <c:pt idx="31">
                  <c:v>1.92</c:v>
                </c:pt>
                <c:pt idx="32">
                  <c:v>1.9800000000000002</c:v>
                </c:pt>
                <c:pt idx="33">
                  <c:v>2.04</c:v>
                </c:pt>
                <c:pt idx="34">
                  <c:v>2.1</c:v>
                </c:pt>
                <c:pt idx="35">
                  <c:v>2.16</c:v>
                </c:pt>
                <c:pt idx="36">
                  <c:v>2.2200000000000002</c:v>
                </c:pt>
                <c:pt idx="37">
                  <c:v>2.2799999999999998</c:v>
                </c:pt>
                <c:pt idx="38">
                  <c:v>2.34</c:v>
                </c:pt>
                <c:pt idx="39">
                  <c:v>2.4000000000000004</c:v>
                </c:pt>
                <c:pt idx="40">
                  <c:v>2.4599999999999995</c:v>
                </c:pt>
                <c:pt idx="41">
                  <c:v>2.52</c:v>
                </c:pt>
                <c:pt idx="42">
                  <c:v>2.58</c:v>
                </c:pt>
                <c:pt idx="43">
                  <c:v>2.64</c:v>
                </c:pt>
                <c:pt idx="44">
                  <c:v>2.7</c:v>
                </c:pt>
                <c:pt idx="45">
                  <c:v>2.76</c:v>
                </c:pt>
                <c:pt idx="46">
                  <c:v>2.82</c:v>
                </c:pt>
                <c:pt idx="47">
                  <c:v>2.88</c:v>
                </c:pt>
                <c:pt idx="48">
                  <c:v>2.94</c:v>
                </c:pt>
                <c:pt idx="49">
                  <c:v>2.9999999999999996</c:v>
                </c:pt>
                <c:pt idx="50">
                  <c:v>3.06</c:v>
                </c:pt>
                <c:pt idx="51">
                  <c:v>3.1200000000000006</c:v>
                </c:pt>
                <c:pt idx="52">
                  <c:v>3.18</c:v>
                </c:pt>
                <c:pt idx="53">
                  <c:v>3.24</c:v>
                </c:pt>
                <c:pt idx="54">
                  <c:v>3.3000000000000007</c:v>
                </c:pt>
                <c:pt idx="55">
                  <c:v>3.3600000000000008</c:v>
                </c:pt>
                <c:pt idx="56">
                  <c:v>3.4200000000000004</c:v>
                </c:pt>
                <c:pt idx="57">
                  <c:v>3.48</c:v>
                </c:pt>
                <c:pt idx="58">
                  <c:v>3.5399999999999996</c:v>
                </c:pt>
                <c:pt idx="59">
                  <c:v>3.5999999999999992</c:v>
                </c:pt>
                <c:pt idx="60">
                  <c:v>3.6599999999999997</c:v>
                </c:pt>
                <c:pt idx="61">
                  <c:v>3.72</c:v>
                </c:pt>
                <c:pt idx="62">
                  <c:v>3.78</c:v>
                </c:pt>
                <c:pt idx="63">
                  <c:v>3.84</c:v>
                </c:pt>
                <c:pt idx="64">
                  <c:v>3.9</c:v>
                </c:pt>
                <c:pt idx="65">
                  <c:v>3.9600000000000004</c:v>
                </c:pt>
                <c:pt idx="66">
                  <c:v>4.0200000000000005</c:v>
                </c:pt>
                <c:pt idx="67">
                  <c:v>4.08</c:v>
                </c:pt>
                <c:pt idx="68">
                  <c:v>4.1399999999999997</c:v>
                </c:pt>
                <c:pt idx="69">
                  <c:v>4.2</c:v>
                </c:pt>
                <c:pt idx="70">
                  <c:v>4.26</c:v>
                </c:pt>
                <c:pt idx="71">
                  <c:v>4.32</c:v>
                </c:pt>
                <c:pt idx="72">
                  <c:v>4.38</c:v>
                </c:pt>
                <c:pt idx="73">
                  <c:v>4.4400000000000004</c:v>
                </c:pt>
                <c:pt idx="74">
                  <c:v>4.5</c:v>
                </c:pt>
                <c:pt idx="75">
                  <c:v>4.5599999999999996</c:v>
                </c:pt>
                <c:pt idx="76">
                  <c:v>4.6199999999999992</c:v>
                </c:pt>
                <c:pt idx="77">
                  <c:v>4.68</c:v>
                </c:pt>
                <c:pt idx="78">
                  <c:v>4.74</c:v>
                </c:pt>
                <c:pt idx="79">
                  <c:v>4.8000000000000007</c:v>
                </c:pt>
                <c:pt idx="80">
                  <c:v>4.8600000000000003</c:v>
                </c:pt>
                <c:pt idx="81">
                  <c:v>4.919999999999999</c:v>
                </c:pt>
                <c:pt idx="82">
                  <c:v>4.9799999999999995</c:v>
                </c:pt>
                <c:pt idx="83">
                  <c:v>5.04</c:v>
                </c:pt>
                <c:pt idx="84">
                  <c:v>5.1000000000000005</c:v>
                </c:pt>
                <c:pt idx="85">
                  <c:v>5.16</c:v>
                </c:pt>
                <c:pt idx="86">
                  <c:v>5.22</c:v>
                </c:pt>
                <c:pt idx="87">
                  <c:v>5.28</c:v>
                </c:pt>
                <c:pt idx="88">
                  <c:v>5.3400000000000007</c:v>
                </c:pt>
                <c:pt idx="89">
                  <c:v>5.4</c:v>
                </c:pt>
                <c:pt idx="90">
                  <c:v>5.46</c:v>
                </c:pt>
                <c:pt idx="91">
                  <c:v>5.52</c:v>
                </c:pt>
                <c:pt idx="92">
                  <c:v>5.58</c:v>
                </c:pt>
                <c:pt idx="93">
                  <c:v>5.64</c:v>
                </c:pt>
                <c:pt idx="94">
                  <c:v>5.7</c:v>
                </c:pt>
                <c:pt idx="95">
                  <c:v>5.76</c:v>
                </c:pt>
                <c:pt idx="96">
                  <c:v>5.8199999999999994</c:v>
                </c:pt>
                <c:pt idx="97">
                  <c:v>5.88</c:v>
                </c:pt>
                <c:pt idx="98">
                  <c:v>5.94</c:v>
                </c:pt>
                <c:pt idx="99">
                  <c:v>5.9999999999999991</c:v>
                </c:pt>
                <c:pt idx="100">
                  <c:v>6.06</c:v>
                </c:pt>
                <c:pt idx="101">
                  <c:v>6.12</c:v>
                </c:pt>
                <c:pt idx="102">
                  <c:v>6.1800000000000006</c:v>
                </c:pt>
                <c:pt idx="103">
                  <c:v>6.2400000000000011</c:v>
                </c:pt>
                <c:pt idx="104">
                  <c:v>6.3</c:v>
                </c:pt>
                <c:pt idx="105">
                  <c:v>6.36</c:v>
                </c:pt>
                <c:pt idx="106">
                  <c:v>6.4200000000000008</c:v>
                </c:pt>
                <c:pt idx="107">
                  <c:v>6.48</c:v>
                </c:pt>
                <c:pt idx="108">
                  <c:v>6.5400000000000009</c:v>
                </c:pt>
                <c:pt idx="109">
                  <c:v>6.6000000000000014</c:v>
                </c:pt>
                <c:pt idx="110">
                  <c:v>6.66</c:v>
                </c:pt>
                <c:pt idx="111">
                  <c:v>6.7200000000000015</c:v>
                </c:pt>
                <c:pt idx="112">
                  <c:v>6.7799999999999994</c:v>
                </c:pt>
                <c:pt idx="113">
                  <c:v>6.8400000000000007</c:v>
                </c:pt>
                <c:pt idx="114">
                  <c:v>6.8999999999999986</c:v>
                </c:pt>
                <c:pt idx="115">
                  <c:v>6.96</c:v>
                </c:pt>
                <c:pt idx="116">
                  <c:v>7.02</c:v>
                </c:pt>
                <c:pt idx="117">
                  <c:v>7.0799999999999992</c:v>
                </c:pt>
                <c:pt idx="118">
                  <c:v>7.1400000000000006</c:v>
                </c:pt>
                <c:pt idx="119">
                  <c:v>7.1999999999999984</c:v>
                </c:pt>
                <c:pt idx="120">
                  <c:v>7.26</c:v>
                </c:pt>
                <c:pt idx="121">
                  <c:v>7.3199999999999994</c:v>
                </c:pt>
                <c:pt idx="122">
                  <c:v>7.38</c:v>
                </c:pt>
                <c:pt idx="123">
                  <c:v>7.44</c:v>
                </c:pt>
                <c:pt idx="124">
                  <c:v>7.5</c:v>
                </c:pt>
                <c:pt idx="125">
                  <c:v>7.56</c:v>
                </c:pt>
                <c:pt idx="126">
                  <c:v>7.620000000000001</c:v>
                </c:pt>
                <c:pt idx="127">
                  <c:v>7.68</c:v>
                </c:pt>
                <c:pt idx="128">
                  <c:v>7.7400000000000011</c:v>
                </c:pt>
                <c:pt idx="129">
                  <c:v>7.8</c:v>
                </c:pt>
                <c:pt idx="130">
                  <c:v>7.86</c:v>
                </c:pt>
                <c:pt idx="131">
                  <c:v>7.9200000000000008</c:v>
                </c:pt>
                <c:pt idx="132">
                  <c:v>7.9799999999999995</c:v>
                </c:pt>
                <c:pt idx="133">
                  <c:v>8.0400000000000009</c:v>
                </c:pt>
                <c:pt idx="134">
                  <c:v>8.1</c:v>
                </c:pt>
                <c:pt idx="135">
                  <c:v>8.16</c:v>
                </c:pt>
                <c:pt idx="136">
                  <c:v>8.2200000000000006</c:v>
                </c:pt>
                <c:pt idx="137">
                  <c:v>8.2799999999999994</c:v>
                </c:pt>
                <c:pt idx="138">
                  <c:v>8.34</c:v>
                </c:pt>
                <c:pt idx="139">
                  <c:v>8.4</c:v>
                </c:pt>
                <c:pt idx="140">
                  <c:v>8.4599999999999991</c:v>
                </c:pt>
                <c:pt idx="141">
                  <c:v>8.52</c:v>
                </c:pt>
                <c:pt idx="142">
                  <c:v>8.5799999999999983</c:v>
                </c:pt>
                <c:pt idx="143">
                  <c:v>8.64</c:v>
                </c:pt>
                <c:pt idx="144">
                  <c:v>8.6999999999999993</c:v>
                </c:pt>
                <c:pt idx="145">
                  <c:v>8.76</c:v>
                </c:pt>
                <c:pt idx="146">
                  <c:v>8.82</c:v>
                </c:pt>
                <c:pt idx="147">
                  <c:v>8.8800000000000008</c:v>
                </c:pt>
                <c:pt idx="148">
                  <c:v>8.9400000000000013</c:v>
                </c:pt>
                <c:pt idx="149">
                  <c:v>9</c:v>
                </c:pt>
                <c:pt idx="150">
                  <c:v>9.06</c:v>
                </c:pt>
                <c:pt idx="151">
                  <c:v>9.1199999999999992</c:v>
                </c:pt>
                <c:pt idx="152">
                  <c:v>9.18</c:v>
                </c:pt>
                <c:pt idx="153">
                  <c:v>9.2399999999999984</c:v>
                </c:pt>
                <c:pt idx="154">
                  <c:v>9.3000000000000007</c:v>
                </c:pt>
                <c:pt idx="155">
                  <c:v>9.36</c:v>
                </c:pt>
                <c:pt idx="156">
                  <c:v>9.42</c:v>
                </c:pt>
                <c:pt idx="157">
                  <c:v>9.48</c:v>
                </c:pt>
                <c:pt idx="158">
                  <c:v>9.5400000000000009</c:v>
                </c:pt>
                <c:pt idx="159">
                  <c:v>9.6000000000000014</c:v>
                </c:pt>
                <c:pt idx="160">
                  <c:v>9.6600000000000019</c:v>
                </c:pt>
                <c:pt idx="161">
                  <c:v>9.7200000000000006</c:v>
                </c:pt>
                <c:pt idx="162">
                  <c:v>9.7799999999999994</c:v>
                </c:pt>
                <c:pt idx="163">
                  <c:v>9.8399999999999981</c:v>
                </c:pt>
                <c:pt idx="164">
                  <c:v>9.9</c:v>
                </c:pt>
                <c:pt idx="165">
                  <c:v>9.9599999999999991</c:v>
                </c:pt>
                <c:pt idx="166">
                  <c:v>10.02</c:v>
                </c:pt>
                <c:pt idx="167">
                  <c:v>10.08</c:v>
                </c:pt>
                <c:pt idx="168">
                  <c:v>10.14</c:v>
                </c:pt>
                <c:pt idx="169">
                  <c:v>10.200000000000001</c:v>
                </c:pt>
                <c:pt idx="170">
                  <c:v>10.259999999999998</c:v>
                </c:pt>
                <c:pt idx="171">
                  <c:v>10.32</c:v>
                </c:pt>
                <c:pt idx="172">
                  <c:v>10.379999999999999</c:v>
                </c:pt>
                <c:pt idx="173">
                  <c:v>10.44</c:v>
                </c:pt>
                <c:pt idx="174">
                  <c:v>10.5</c:v>
                </c:pt>
                <c:pt idx="175">
                  <c:v>10.56</c:v>
                </c:pt>
                <c:pt idx="176">
                  <c:v>10.62</c:v>
                </c:pt>
                <c:pt idx="177">
                  <c:v>10.680000000000001</c:v>
                </c:pt>
                <c:pt idx="178">
                  <c:v>10.74</c:v>
                </c:pt>
                <c:pt idx="179">
                  <c:v>10.8</c:v>
                </c:pt>
                <c:pt idx="180">
                  <c:v>10.86</c:v>
                </c:pt>
                <c:pt idx="181">
                  <c:v>10.92</c:v>
                </c:pt>
                <c:pt idx="182">
                  <c:v>10.98</c:v>
                </c:pt>
                <c:pt idx="183">
                  <c:v>11.04</c:v>
                </c:pt>
                <c:pt idx="184">
                  <c:v>11.100000000000001</c:v>
                </c:pt>
                <c:pt idx="185">
                  <c:v>11.16</c:v>
                </c:pt>
                <c:pt idx="186">
                  <c:v>11.22</c:v>
                </c:pt>
                <c:pt idx="187">
                  <c:v>11.28</c:v>
                </c:pt>
                <c:pt idx="188">
                  <c:v>11.34</c:v>
                </c:pt>
                <c:pt idx="189">
                  <c:v>11.4</c:v>
                </c:pt>
                <c:pt idx="190">
                  <c:v>11.459999999999999</c:v>
                </c:pt>
                <c:pt idx="191">
                  <c:v>11.52</c:v>
                </c:pt>
                <c:pt idx="192">
                  <c:v>11.58</c:v>
                </c:pt>
                <c:pt idx="193">
                  <c:v>11.639999999999999</c:v>
                </c:pt>
                <c:pt idx="194">
                  <c:v>11.700000000000001</c:v>
                </c:pt>
                <c:pt idx="195">
                  <c:v>11.76</c:v>
                </c:pt>
                <c:pt idx="196">
                  <c:v>11.82</c:v>
                </c:pt>
                <c:pt idx="197">
                  <c:v>11.88</c:v>
                </c:pt>
                <c:pt idx="198">
                  <c:v>11.940000000000001</c:v>
                </c:pt>
                <c:pt idx="199">
                  <c:v>11.999999999999998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2A-48A5-B95E-B956247776B0}"/>
            </c:ext>
          </c:extLst>
        </c:ser>
        <c:ser>
          <c:idx val="4"/>
          <c:order val="4"/>
          <c:tx>
            <c:strRef>
              <c:f>Sheet1!$N$6</c:f>
              <c:strCache>
                <c:ptCount val="1"/>
                <c:pt idx="0">
                  <c:v>RMS Capacitor Current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Sheet1!$N$7:$N$206</c:f>
              <c:numCache>
                <c:formatCode>0.00E+00</c:formatCode>
                <c:ptCount val="200"/>
                <c:pt idx="0">
                  <c:v>0.84640181843493123</c:v>
                </c:pt>
                <c:pt idx="1">
                  <c:v>1.1939717851490461</c:v>
                </c:pt>
                <c:pt idx="2">
                  <c:v>1.4585935595771273</c:v>
                </c:pt>
                <c:pt idx="3">
                  <c:v>1.6799267945828273</c:v>
                </c:pt>
                <c:pt idx="4">
                  <c:v>1.873372490844553</c:v>
                </c:pt>
                <c:pt idx="5">
                  <c:v>2.0468479972083906</c:v>
                </c:pt>
                <c:pt idx="6">
                  <c:v>2.2050673066710931</c:v>
                </c:pt>
                <c:pt idx="7">
                  <c:v>2.3511086271731467</c:v>
                </c:pt>
                <c:pt idx="8">
                  <c:v>2.4871146790989802</c:v>
                </c:pt>
                <c:pt idx="9">
                  <c:v>2.6146488283961449</c:v>
                </c:pt>
                <c:pt idx="10">
                  <c:v>2.7348937006532585</c:v>
                </c:pt>
                <c:pt idx="11">
                  <c:v>2.8487699120904795</c:v>
                </c:pt>
                <c:pt idx="12">
                  <c:v>2.9570110093774526</c:v>
                </c:pt>
                <c:pt idx="13">
                  <c:v>3.0602128850986818</c:v>
                </c:pt>
                <c:pt idx="14">
                  <c:v>3.1588675580988475</c:v>
                </c:pt>
                <c:pt idx="15">
                  <c:v>3.2533869742637953</c:v>
                </c:pt>
                <c:pt idx="16">
                  <c:v>3.3441202129742025</c:v>
                </c:pt>
                <c:pt idx="17">
                  <c:v>3.4313662051824201</c:v>
                </c:pt>
                <c:pt idx="18">
                  <c:v>3.5153833172613203</c:v>
                </c:pt>
                <c:pt idx="19">
                  <c:v>3.5963966966951797</c:v>
                </c:pt>
                <c:pt idx="20">
                  <c:v>3.6746039876535166</c:v>
                </c:pt>
                <c:pt idx="21">
                  <c:v>3.7501798383098022</c:v>
                </c:pt>
                <c:pt idx="22">
                  <c:v>3.8232794984414071</c:v>
                </c:pt>
                <c:pt idx="23">
                  <c:v>3.8940417223527541</c:v>
                </c:pt>
                <c:pt idx="24">
                  <c:v>3.9625911345165243</c:v>
                </c:pt>
                <c:pt idx="25">
                  <c:v>4.0290401748153366</c:v>
                </c:pt>
                <c:pt idx="26">
                  <c:v>4.0934907113341392</c:v>
                </c:pt>
                <c:pt idx="27">
                  <c:v>4.1560353876863623</c:v>
                </c:pt>
                <c:pt idx="28">
                  <c:v>4.2167587564564473</c:v>
                </c:pt>
                <c:pt idx="29">
                  <c:v>4.2757382388892804</c:v>
                </c:pt>
                <c:pt idx="30">
                  <c:v>4.3330449423435144</c:v>
                </c:pt>
                <c:pt idx="31">
                  <c:v>4.388744360478519</c:v>
                </c:pt>
                <c:pt idx="32">
                  <c:v>4.442896976119143</c:v>
                </c:pt>
                <c:pt idx="33">
                  <c:v>4.495558782849729</c:v>
                </c:pt>
                <c:pt idx="34">
                  <c:v>4.5467817383476712</c:v>
                </c:pt>
                <c:pt idx="35">
                  <c:v>4.5966141600721722</c:v>
                </c:pt>
                <c:pt idx="36">
                  <c:v>4.6451010720239934</c:v>
                </c:pt>
                <c:pt idx="37">
                  <c:v>4.6922845097743169</c:v>
                </c:pt>
                <c:pt idx="38">
                  <c:v>4.738203789740199</c:v>
                </c:pt>
                <c:pt idx="39">
                  <c:v>4.7828957476965073</c:v>
                </c:pt>
                <c:pt idx="40">
                  <c:v>4.8263949507102737</c:v>
                </c:pt>
                <c:pt idx="41">
                  <c:v>4.8687338860254012</c:v>
                </c:pt>
                <c:pt idx="42">
                  <c:v>4.9099431298843177</c:v>
                </c:pt>
                <c:pt idx="43">
                  <c:v>4.9500514988254407</c:v>
                </c:pt>
                <c:pt idx="44">
                  <c:v>4.9890861856233881</c:v>
                </c:pt>
                <c:pt idx="45">
                  <c:v>5.0270728817284249</c:v>
                </c:pt>
                <c:pt idx="46">
                  <c:v>5.0640358878014853</c:v>
                </c:pt>
                <c:pt idx="47">
                  <c:v>5.0999982137220403</c:v>
                </c:pt>
                <c:pt idx="48">
                  <c:v>5.1349816692611441</c:v>
                </c:pt>
                <c:pt idx="49">
                  <c:v>5.1690069464549948</c:v>
                </c:pt>
                <c:pt idx="50">
                  <c:v>5.2020936945808529</c:v>
                </c:pt>
                <c:pt idx="51">
                  <c:v>5.2342605885230178</c:v>
                </c:pt>
                <c:pt idx="52">
                  <c:v>5.2655253912189171</c:v>
                </c:pt>
                <c:pt idx="53">
                  <c:v>5.2959050107912624</c:v>
                </c:pt>
                <c:pt idx="54">
                  <c:v>5.3254155528998588</c:v>
                </c:pt>
                <c:pt idx="55">
                  <c:v>5.3540723687839709</c:v>
                </c:pt>
                <c:pt idx="56">
                  <c:v>5.3818900994118808</c:v>
                </c:pt>
                <c:pt idx="57">
                  <c:v>5.4088827161070272</c:v>
                </c:pt>
                <c:pt idx="58">
                  <c:v>5.4350635579789568</c:v>
                </c:pt>
                <c:pt idx="59">
                  <c:v>5.4604453664513484</c:v>
                </c:pt>
                <c:pt idx="60">
                  <c:v>5.4850403171478561</c:v>
                </c:pt>
                <c:pt idx="61">
                  <c:v>5.5088600493688338</c:v>
                </c:pt>
                <c:pt idx="62">
                  <c:v>5.531915693367659</c:v>
                </c:pt>
                <c:pt idx="63">
                  <c:v>5.5542178956138679</c:v>
                </c:pt>
                <c:pt idx="64">
                  <c:v>5.5757768422113729</c:v>
                </c:pt>
                <c:pt idx="65">
                  <c:v>5.5966022806231281</c:v>
                </c:pt>
                <c:pt idx="66">
                  <c:v>5.6167035398387561</c:v>
                </c:pt>
                <c:pt idx="67">
                  <c:v>5.6360895491083172</c:v>
                </c:pt>
                <c:pt idx="68">
                  <c:v>5.6547688553536055</c:v>
                </c:pt>
                <c:pt idx="69">
                  <c:v>5.672749639357737</c:v>
                </c:pt>
                <c:pt idx="70">
                  <c:v>5.6900397308244139</c:v>
                </c:pt>
                <c:pt idx="71">
                  <c:v>5.7066466223897203</c:v>
                </c:pt>
                <c:pt idx="72">
                  <c:v>5.7225774826617206</c:v>
                </c:pt>
                <c:pt idx="73">
                  <c:v>5.7378391683563237</c:v>
                </c:pt>
                <c:pt idx="74">
                  <c:v>5.7524382355916588</c:v>
                </c:pt>
                <c:pt idx="75">
                  <c:v>5.7663809503976875</c:v>
                </c:pt>
                <c:pt idx="76">
                  <c:v>5.7796732984927557</c:v>
                </c:pt>
                <c:pt idx="77">
                  <c:v>5.7923209943741902</c:v>
                </c:pt>
                <c:pt idx="78">
                  <c:v>5.804329489765955</c:v>
                </c:pt>
                <c:pt idx="79">
                  <c:v>5.8157039814626055</c:v>
                </c:pt>
                <c:pt idx="80">
                  <c:v>5.8264494186053515</c:v>
                </c:pt>
                <c:pt idx="81">
                  <c:v>5.8365705094229217</c:v>
                </c:pt>
                <c:pt idx="82">
                  <c:v>5.8460717274670762</c:v>
                </c:pt>
                <c:pt idx="83">
                  <c:v>5.8549573173699567</c:v>
                </c:pt>
                <c:pt idx="84">
                  <c:v>5.8632313001481062</c:v>
                </c:pt>
                <c:pt idx="85">
                  <c:v>5.870897478075733</c:v>
                </c:pt>
                <c:pt idx="86">
                  <c:v>5.8779594391477703</c:v>
                </c:pt>
                <c:pt idx="87">
                  <c:v>5.8844205611513978</c:v>
                </c:pt>
                <c:pt idx="88">
                  <c:v>5.8902840153628944</c:v>
                </c:pt>
                <c:pt idx="89">
                  <c:v>5.8955527698851107</c:v>
                </c:pt>
                <c:pt idx="90">
                  <c:v>5.900229592639274</c:v>
                </c:pt>
                <c:pt idx="91">
                  <c:v>5.904317054023438</c:v>
                </c:pt>
                <c:pt idx="92">
                  <c:v>5.9078175292485229</c:v>
                </c:pt>
                <c:pt idx="93">
                  <c:v>5.910733200361638</c:v>
                </c:pt>
                <c:pt idx="94">
                  <c:v>5.9130660579651382</c:v>
                </c:pt>
                <c:pt idx="95">
                  <c:v>5.9148179026387613</c:v>
                </c:pt>
                <c:pt idx="96">
                  <c:v>5.9159903460710579</c:v>
                </c:pt>
                <c:pt idx="97">
                  <c:v>5.9165848119052598</c:v>
                </c:pt>
                <c:pt idx="98">
                  <c:v>5.9166025363037429</c:v>
                </c:pt>
                <c:pt idx="99">
                  <c:v>5.916044568234196</c:v>
                </c:pt>
                <c:pt idx="100">
                  <c:v>5.9149117694796711</c:v>
                </c:pt>
                <c:pt idx="101">
                  <c:v>5.9132048143736737</c:v>
                </c:pt>
                <c:pt idx="102">
                  <c:v>5.9109241892605686</c:v>
                </c:pt>
                <c:pt idx="103">
                  <c:v>5.9080701916805287</c:v>
                </c:pt>
                <c:pt idx="104">
                  <c:v>5.9046429292774025</c:v>
                </c:pt>
                <c:pt idx="105">
                  <c:v>5.9006423184268106</c:v>
                </c:pt>
                <c:pt idx="106">
                  <c:v>5.8960680825808716</c:v>
                </c:pt>
                <c:pt idx="107">
                  <c:v>5.8909197503249011</c:v>
                </c:pt>
                <c:pt idx="108">
                  <c:v>5.8851966531404418</c:v>
                </c:pt>
                <c:pt idx="109">
                  <c:v>5.8788979228678562</c:v>
                </c:pt>
                <c:pt idx="110">
                  <c:v>5.8720224888606625</c:v>
                </c:pt>
                <c:pt idx="111">
                  <c:v>5.8645690748225769</c:v>
                </c:pt>
                <c:pt idx="112">
                  <c:v>5.8565361953170436</c:v>
                </c:pt>
                <c:pt idx="113">
                  <c:v>5.8479221519377296</c:v>
                </c:pt>
                <c:pt idx="114">
                  <c:v>5.8387250291270965</c:v>
                </c:pt>
                <c:pt idx="115">
                  <c:v>5.8289426896287111</c:v>
                </c:pt>
                <c:pt idx="116">
                  <c:v>5.8185727695574219</c:v>
                </c:pt>
                <c:pt idx="117">
                  <c:v>5.8076126730698325</c:v>
                </c:pt>
                <c:pt idx="118">
                  <c:v>5.7960595666157859</c:v>
                </c:pt>
                <c:pt idx="119">
                  <c:v>5.7839103727495642</c:v>
                </c:pt>
                <c:pt idx="120">
                  <c:v>5.7711617634775196</c:v>
                </c:pt>
                <c:pt idx="121">
                  <c:v>5.757810153116548</c:v>
                </c:pt>
                <c:pt idx="122">
                  <c:v>5.7438516906353767</c:v>
                </c:pt>
                <c:pt idx="123">
                  <c:v>5.7292822514480237</c:v>
                </c:pt>
                <c:pt idx="124">
                  <c:v>5.7140974286258128</c:v>
                </c:pt>
                <c:pt idx="125">
                  <c:v>5.6982925234912258</c:v>
                </c:pt>
                <c:pt idx="126">
                  <c:v>5.6818625355533472</c:v>
                </c:pt>
                <c:pt idx="127">
                  <c:v>5.6648021517408704</c:v>
                </c:pt>
                <c:pt idx="128">
                  <c:v>5.6471057348844305</c:v>
                </c:pt>
                <c:pt idx="129">
                  <c:v>5.6287673113953938</c:v>
                </c:pt>
                <c:pt idx="130">
                  <c:v>5.6097805580831661</c:v>
                </c:pt>
                <c:pt idx="131">
                  <c:v>5.5901387880473949</c:v>
                </c:pt>
                <c:pt idx="132">
                  <c:v>5.5698349355752423</c:v>
                </c:pt>
                <c:pt idx="133">
                  <c:v>5.5488615399669152</c:v>
                </c:pt>
                <c:pt idx="134">
                  <c:v>5.5272107282049934</c:v>
                </c:pt>
                <c:pt idx="135">
                  <c:v>5.5048741963744572</c:v>
                </c:pt>
                <c:pt idx="136">
                  <c:v>5.4818431897307702</c:v>
                </c:pt>
                <c:pt idx="137">
                  <c:v>5.4581084813026575</c:v>
                </c:pt>
                <c:pt idx="138">
                  <c:v>5.4336603489042457</c:v>
                </c:pt>
                <c:pt idx="139">
                  <c:v>5.4084885504177596</c:v>
                </c:pt>
                <c:pt idx="140">
                  <c:v>5.382582297192875</c:v>
                </c:pt>
                <c:pt idx="141">
                  <c:v>5.3559302253917886</c:v>
                </c:pt>
                <c:pt idx="142">
                  <c:v>5.3285203650898598</c:v>
                </c:pt>
                <c:pt idx="143">
                  <c:v>5.3003401069199318</c:v>
                </c:pt>
                <c:pt idx="144">
                  <c:v>5.271376166023817</c:v>
                </c:pt>
                <c:pt idx="145">
                  <c:v>5.2416145430464454</c:v>
                </c:pt>
                <c:pt idx="146">
                  <c:v>5.2110404818763287</c:v>
                </c:pt>
                <c:pt idx="147">
                  <c:v>5.179638423799612</c:v>
                </c:pt>
                <c:pt idx="148">
                  <c:v>5.1473919576934417</c:v>
                </c:pt>
                <c:pt idx="149">
                  <c:v>5.1142837658366203</c:v>
                </c:pt>
                <c:pt idx="150">
                  <c:v>5.08029556486074</c:v>
                </c:pt>
                <c:pt idx="151">
                  <c:v>5.0454080413017142</c:v>
                </c:pt>
                <c:pt idx="152">
                  <c:v>5.0096007811385155</c:v>
                </c:pt>
                <c:pt idx="153">
                  <c:v>4.9728521926211853</c:v>
                </c:pt>
                <c:pt idx="154">
                  <c:v>4.9351394215915398</c:v>
                </c:pt>
                <c:pt idx="155">
                  <c:v>4.8964382583849657</c:v>
                </c:pt>
                <c:pt idx="156">
                  <c:v>4.8567230352670361</c:v>
                </c:pt>
                <c:pt idx="157">
                  <c:v>4.815966513200439</c:v>
                </c:pt>
                <c:pt idx="158">
                  <c:v>4.7741397565512651</c:v>
                </c:pt>
                <c:pt idx="159">
                  <c:v>4.731211994123</c:v>
                </c:pt>
                <c:pt idx="160">
                  <c:v>4.6871504646444428</c:v>
                </c:pt>
                <c:pt idx="161">
                  <c:v>4.6419202445251031</c:v>
                </c:pt>
                <c:pt idx="162">
                  <c:v>4.5954840553170468</c:v>
                </c:pt>
                <c:pt idx="163">
                  <c:v>4.5478020478714765</c:v>
                </c:pt>
                <c:pt idx="164">
                  <c:v>4.4988315596333601</c:v>
                </c:pt>
                <c:pt idx="165">
                  <c:v>4.4485268408552212</c:v>
                </c:pt>
                <c:pt idx="166">
                  <c:v>4.3968387447024231</c:v>
                </c:pt>
                <c:pt idx="167">
                  <c:v>4.3437143752286484</c:v>
                </c:pt>
                <c:pt idx="168">
                  <c:v>4.2890966859728126</c:v>
                </c:pt>
                <c:pt idx="169">
                  <c:v>4.2329240204024456</c:v>
                </c:pt>
                <c:pt idx="170">
                  <c:v>4.1751295835186815</c:v>
                </c:pt>
                <c:pt idx="171">
                  <c:v>4.1156408315310191</c:v>
                </c:pt>
                <c:pt idx="172">
                  <c:v>4.0543787634539186</c:v>
                </c:pt>
                <c:pt idx="173">
                  <c:v>3.9912570945660715</c:v>
                </c:pt>
                <c:pt idx="174">
                  <c:v>3.926181286624792</c:v>
                </c:pt>
                <c:pt idx="175">
                  <c:v>3.8590474031522342</c:v>
                </c:pt>
                <c:pt idx="176">
                  <c:v>3.7897407494606568</c:v>
                </c:pt>
                <c:pt idx="177">
                  <c:v>3.7181342455862634</c:v>
                </c:pt>
                <c:pt idx="178">
                  <c:v>3.6440864648421658</c:v>
                </c:pt>
                <c:pt idx="179">
                  <c:v>3.567439249657939</c:v>
                </c:pt>
                <c:pt idx="180">
                  <c:v>3.4880147873414264</c:v>
                </c:pt>
                <c:pt idx="181">
                  <c:v>3.4056119877537423</c:v>
                </c:pt>
                <c:pt idx="182">
                  <c:v>3.3200019470630391</c:v>
                </c:pt>
                <c:pt idx="183">
                  <c:v>3.2309221980043605</c:v>
                </c:pt>
                <c:pt idx="184">
                  <c:v>3.1380693234082035</c:v>
                </c:pt>
                <c:pt idx="185">
                  <c:v>3.0410893231005227</c:v>
                </c:pt>
                <c:pt idx="186">
                  <c:v>2.9395648355517188</c:v>
                </c:pt>
                <c:pt idx="187">
                  <c:v>2.8329978565413718</c:v>
                </c:pt>
                <c:pt idx="188">
                  <c:v>2.7207858437319414</c:v>
                </c:pt>
                <c:pt idx="189">
                  <c:v>2.6021878142888419</c:v>
                </c:pt>
                <c:pt idx="190">
                  <c:v>2.4762747683436466</c:v>
                </c:pt>
                <c:pt idx="191">
                  <c:v>2.3418545305872449</c:v>
                </c:pt>
                <c:pt idx="192">
                  <c:v>2.1973527124797152</c:v>
                </c:pt>
                <c:pt idx="193">
                  <c:v>2.0406136492545581</c:v>
                </c:pt>
                <c:pt idx="194">
                  <c:v>1.8685435741967265</c:v>
                </c:pt>
                <c:pt idx="195">
                  <c:v>1.6764091752043517</c:v>
                </c:pt>
                <c:pt idx="196">
                  <c:v>1.4562679345797347</c:v>
                </c:pt>
                <c:pt idx="197">
                  <c:v>1.1926834238254513</c:v>
                </c:pt>
                <c:pt idx="198">
                  <c:v>0.84593830256213665</c:v>
                </c:pt>
                <c:pt idx="199">
                  <c:v>1.7763568394002505E-15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CA-44B3-9100-F7545809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726256"/>
        <c:axId val="815726736"/>
      </c:scatterChart>
      <c:valAx>
        <c:axId val="815726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26736"/>
        <c:crosses val="autoZero"/>
        <c:crossBetween val="midCat"/>
      </c:valAx>
      <c:valAx>
        <c:axId val="8157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2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26825816115983"/>
          <c:y val="0.42771928449335678"/>
          <c:w val="0.16371020929226937"/>
          <c:h val="0.183401934126465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Contributed by Capacitors</a:t>
            </a:r>
          </a:p>
        </c:rich>
      </c:tx>
      <c:layout>
        <c:manualLayout>
          <c:xMode val="edge"/>
          <c:yMode val="edge"/>
          <c:x val="0.324167144054675"/>
          <c:y val="3.0879473336128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Sheet1!$L$7:$L$206</c:f>
              <c:numCache>
                <c:formatCode>0.00E+00</c:formatCode>
                <c:ptCount val="200"/>
                <c:pt idx="0">
                  <c:v>1.0122145328719732E-5</c:v>
                </c:pt>
                <c:pt idx="1">
                  <c:v>2.0142560553633233E-5</c:v>
                </c:pt>
                <c:pt idx="2">
                  <c:v>3.0061245674740506E-5</c:v>
                </c:pt>
                <c:pt idx="3">
                  <c:v>3.9878200692041551E-5</c:v>
                </c:pt>
                <c:pt idx="4">
                  <c:v>4.9593425605536366E-5</c:v>
                </c:pt>
                <c:pt idx="5">
                  <c:v>5.9206920415224962E-5</c:v>
                </c:pt>
                <c:pt idx="6">
                  <c:v>6.8718685121107336E-5</c:v>
                </c:pt>
                <c:pt idx="7">
                  <c:v>7.8128719723183457E-5</c:v>
                </c:pt>
                <c:pt idx="8">
                  <c:v>8.7437024221453358E-5</c:v>
                </c:pt>
                <c:pt idx="9">
                  <c:v>9.6643598615917025E-5</c:v>
                </c:pt>
                <c:pt idx="10">
                  <c:v>1.0574844290657447E-4</c:v>
                </c:pt>
                <c:pt idx="11">
                  <c:v>1.1475155709342568E-4</c:v>
                </c:pt>
                <c:pt idx="12">
                  <c:v>1.2365294117647069E-4</c:v>
                </c:pt>
                <c:pt idx="13">
                  <c:v>1.3245259515570946E-4</c:v>
                </c:pt>
                <c:pt idx="14">
                  <c:v>1.4115051903114197E-4</c:v>
                </c:pt>
                <c:pt idx="15">
                  <c:v>1.4974671280276828E-4</c:v>
                </c:pt>
                <c:pt idx="16">
                  <c:v>1.5824117647058835E-4</c:v>
                </c:pt>
                <c:pt idx="17">
                  <c:v>1.6663391003460222E-4</c:v>
                </c:pt>
                <c:pt idx="18">
                  <c:v>1.7492491349480985E-4</c:v>
                </c:pt>
                <c:pt idx="19">
                  <c:v>1.8311418685121122E-4</c:v>
                </c:pt>
                <c:pt idx="20">
                  <c:v>1.9120173010380635E-4</c:v>
                </c:pt>
                <c:pt idx="21">
                  <c:v>1.9918754325259528E-4</c:v>
                </c:pt>
                <c:pt idx="22">
                  <c:v>2.07071626297578E-4</c:v>
                </c:pt>
                <c:pt idx="23">
                  <c:v>2.1485397923875449E-4</c:v>
                </c:pt>
                <c:pt idx="24">
                  <c:v>2.2253460207612472E-4</c:v>
                </c:pt>
                <c:pt idx="25">
                  <c:v>2.3011349480968877E-4</c:v>
                </c:pt>
                <c:pt idx="26">
                  <c:v>2.3759065743944656E-4</c:v>
                </c:pt>
                <c:pt idx="27">
                  <c:v>2.4496608996539814E-4</c:v>
                </c:pt>
                <c:pt idx="28">
                  <c:v>2.5223979238754351E-4</c:v>
                </c:pt>
                <c:pt idx="29">
                  <c:v>2.5941176470588252E-4</c:v>
                </c:pt>
                <c:pt idx="30">
                  <c:v>2.6648200692041543E-4</c:v>
                </c:pt>
                <c:pt idx="31">
                  <c:v>2.7345051903114207E-4</c:v>
                </c:pt>
                <c:pt idx="32">
                  <c:v>2.8031730103806257E-4</c:v>
                </c:pt>
                <c:pt idx="33">
                  <c:v>2.8708235294117664E-4</c:v>
                </c:pt>
                <c:pt idx="34">
                  <c:v>2.9374567474048461E-4</c:v>
                </c:pt>
                <c:pt idx="35">
                  <c:v>3.0030726643598637E-4</c:v>
                </c:pt>
                <c:pt idx="36">
                  <c:v>3.0676712802768188E-4</c:v>
                </c:pt>
                <c:pt idx="37">
                  <c:v>3.1312525951557118E-4</c:v>
                </c:pt>
                <c:pt idx="38">
                  <c:v>3.1938166089965421E-4</c:v>
                </c:pt>
                <c:pt idx="39">
                  <c:v>3.2553633217993104E-4</c:v>
                </c:pt>
                <c:pt idx="40">
                  <c:v>3.3158927335640156E-4</c:v>
                </c:pt>
                <c:pt idx="41">
                  <c:v>3.3754048442906603E-4</c:v>
                </c:pt>
                <c:pt idx="42">
                  <c:v>3.4338996539792419E-4</c:v>
                </c:pt>
                <c:pt idx="43">
                  <c:v>3.4913771626297603E-4</c:v>
                </c:pt>
                <c:pt idx="44">
                  <c:v>3.5478373702422166E-4</c:v>
                </c:pt>
                <c:pt idx="45">
                  <c:v>3.6032802768166109E-4</c:v>
                </c:pt>
                <c:pt idx="46">
                  <c:v>3.6577058823529442E-4</c:v>
                </c:pt>
                <c:pt idx="47">
                  <c:v>3.7111141868512138E-4</c:v>
                </c:pt>
                <c:pt idx="48">
                  <c:v>3.7635051903114213E-4</c:v>
                </c:pt>
                <c:pt idx="49">
                  <c:v>3.8148788927335663E-4</c:v>
                </c:pt>
                <c:pt idx="50">
                  <c:v>3.8652352941176502E-4</c:v>
                </c:pt>
                <c:pt idx="51">
                  <c:v>3.9145743944636716E-4</c:v>
                </c:pt>
                <c:pt idx="52">
                  <c:v>3.9628961937716292E-4</c:v>
                </c:pt>
                <c:pt idx="53">
                  <c:v>4.0102006920415259E-4</c:v>
                </c:pt>
                <c:pt idx="54">
                  <c:v>4.0564878892733599E-4</c:v>
                </c:pt>
                <c:pt idx="55">
                  <c:v>4.1017577854671319E-4</c:v>
                </c:pt>
                <c:pt idx="56">
                  <c:v>4.1460103806228402E-4</c:v>
                </c:pt>
                <c:pt idx="57">
                  <c:v>4.1892456747404886E-4</c:v>
                </c:pt>
                <c:pt idx="58">
                  <c:v>4.2314636678200722E-4</c:v>
                </c:pt>
                <c:pt idx="59">
                  <c:v>4.2726643598615943E-4</c:v>
                </c:pt>
                <c:pt idx="60">
                  <c:v>4.3128477508650554E-4</c:v>
                </c:pt>
                <c:pt idx="61">
                  <c:v>4.3520138408304529E-4</c:v>
                </c:pt>
                <c:pt idx="62">
                  <c:v>4.3901626297577877E-4</c:v>
                </c:pt>
                <c:pt idx="63">
                  <c:v>4.427294117647062E-4</c:v>
                </c:pt>
                <c:pt idx="64">
                  <c:v>4.4634083044982727E-4</c:v>
                </c:pt>
                <c:pt idx="65">
                  <c:v>4.4985051903114224E-4</c:v>
                </c:pt>
                <c:pt idx="66">
                  <c:v>4.532584775086509E-4</c:v>
                </c:pt>
                <c:pt idx="67">
                  <c:v>4.5656470588235329E-4</c:v>
                </c:pt>
                <c:pt idx="68">
                  <c:v>4.5976920415224937E-4</c:v>
                </c:pt>
                <c:pt idx="69">
                  <c:v>4.6287197231833935E-4</c:v>
                </c:pt>
                <c:pt idx="70">
                  <c:v>4.6587301038062323E-4</c:v>
                </c:pt>
                <c:pt idx="71">
                  <c:v>4.6877231833910074E-4</c:v>
                </c:pt>
                <c:pt idx="72">
                  <c:v>4.7156989619377194E-4</c:v>
                </c:pt>
                <c:pt idx="73">
                  <c:v>4.742657439446371E-4</c:v>
                </c:pt>
                <c:pt idx="74">
                  <c:v>4.7685986159169583E-4</c:v>
                </c:pt>
                <c:pt idx="75">
                  <c:v>4.7935224913494846E-4</c:v>
                </c:pt>
                <c:pt idx="76">
                  <c:v>4.8174290657439472E-4</c:v>
                </c:pt>
                <c:pt idx="77">
                  <c:v>4.8403183391003488E-4</c:v>
                </c:pt>
                <c:pt idx="78">
                  <c:v>4.862190311418689E-4</c:v>
                </c:pt>
                <c:pt idx="79">
                  <c:v>4.8830449826989654E-4</c:v>
                </c:pt>
                <c:pt idx="80">
                  <c:v>4.9028823529411803E-4</c:v>
                </c:pt>
                <c:pt idx="81">
                  <c:v>4.9217024221453315E-4</c:v>
                </c:pt>
                <c:pt idx="82">
                  <c:v>4.9395051903114223E-4</c:v>
                </c:pt>
                <c:pt idx="83">
                  <c:v>4.9562906574394505E-4</c:v>
                </c:pt>
                <c:pt idx="84">
                  <c:v>4.972058823529416E-4</c:v>
                </c:pt>
                <c:pt idx="85">
                  <c:v>4.986809688581319E-4</c:v>
                </c:pt>
                <c:pt idx="86">
                  <c:v>5.0005432525951582E-4</c:v>
                </c:pt>
                <c:pt idx="87">
                  <c:v>5.0132595155709381E-4</c:v>
                </c:pt>
                <c:pt idx="88">
                  <c:v>5.0249584775086554E-4</c:v>
                </c:pt>
                <c:pt idx="89">
                  <c:v>5.0356401384083068E-4</c:v>
                </c:pt>
                <c:pt idx="90">
                  <c:v>5.0453044982699E-4</c:v>
                </c:pt>
                <c:pt idx="91">
                  <c:v>5.0539515570934283E-4</c:v>
                </c:pt>
                <c:pt idx="92">
                  <c:v>5.0615813148788963E-4</c:v>
                </c:pt>
                <c:pt idx="93">
                  <c:v>5.0681937716263016E-4</c:v>
                </c:pt>
                <c:pt idx="94">
                  <c:v>5.0737889273356443E-4</c:v>
                </c:pt>
                <c:pt idx="95">
                  <c:v>5.0783667820069245E-4</c:v>
                </c:pt>
                <c:pt idx="96">
                  <c:v>5.0819273356401409E-4</c:v>
                </c:pt>
                <c:pt idx="97">
                  <c:v>5.0844705882352979E-4</c:v>
                </c:pt>
                <c:pt idx="98">
                  <c:v>5.0859965397923913E-4</c:v>
                </c:pt>
                <c:pt idx="99">
                  <c:v>5.0865051903114221E-4</c:v>
                </c:pt>
                <c:pt idx="100">
                  <c:v>5.0859965397923913E-4</c:v>
                </c:pt>
                <c:pt idx="101">
                  <c:v>5.0844705882352979E-4</c:v>
                </c:pt>
                <c:pt idx="102">
                  <c:v>5.081927335640142E-4</c:v>
                </c:pt>
                <c:pt idx="103">
                  <c:v>5.0783667820069255E-4</c:v>
                </c:pt>
                <c:pt idx="104">
                  <c:v>5.0737889273356443E-4</c:v>
                </c:pt>
                <c:pt idx="105">
                  <c:v>5.0681937716263005E-4</c:v>
                </c:pt>
                <c:pt idx="106">
                  <c:v>5.0615813148788952E-4</c:v>
                </c:pt>
                <c:pt idx="107">
                  <c:v>5.0539515570934305E-4</c:v>
                </c:pt>
                <c:pt idx="108">
                  <c:v>5.0453044982699011E-4</c:v>
                </c:pt>
                <c:pt idx="109">
                  <c:v>5.035640138408309E-4</c:v>
                </c:pt>
                <c:pt idx="110">
                  <c:v>5.0249584775086554E-4</c:v>
                </c:pt>
                <c:pt idx="111">
                  <c:v>5.0132595155709381E-4</c:v>
                </c:pt>
                <c:pt idx="112">
                  <c:v>5.0005432525951593E-4</c:v>
                </c:pt>
                <c:pt idx="113">
                  <c:v>4.9868096885813179E-4</c:v>
                </c:pt>
                <c:pt idx="114">
                  <c:v>4.972058823529416E-4</c:v>
                </c:pt>
                <c:pt idx="115">
                  <c:v>4.9562906574394526E-4</c:v>
                </c:pt>
                <c:pt idx="116">
                  <c:v>4.9395051903114223E-4</c:v>
                </c:pt>
                <c:pt idx="117">
                  <c:v>4.9217024221453326E-4</c:v>
                </c:pt>
                <c:pt idx="118">
                  <c:v>4.9028823529411792E-4</c:v>
                </c:pt>
                <c:pt idx="119">
                  <c:v>4.8830449826989654E-4</c:v>
                </c:pt>
                <c:pt idx="120">
                  <c:v>4.8621903114186895E-4</c:v>
                </c:pt>
                <c:pt idx="121">
                  <c:v>4.8403183391003499E-4</c:v>
                </c:pt>
                <c:pt idx="122">
                  <c:v>4.8174290657439494E-4</c:v>
                </c:pt>
                <c:pt idx="123">
                  <c:v>4.7935224913494846E-4</c:v>
                </c:pt>
                <c:pt idx="124">
                  <c:v>4.7685986159169572E-4</c:v>
                </c:pt>
                <c:pt idx="125">
                  <c:v>4.7426574394463688E-4</c:v>
                </c:pt>
                <c:pt idx="126">
                  <c:v>4.7156989619377205E-4</c:v>
                </c:pt>
                <c:pt idx="127">
                  <c:v>4.6877231833910074E-4</c:v>
                </c:pt>
                <c:pt idx="128">
                  <c:v>4.6587301038062323E-4</c:v>
                </c:pt>
                <c:pt idx="129">
                  <c:v>4.6287197231833935E-4</c:v>
                </c:pt>
                <c:pt idx="130">
                  <c:v>4.5976920415224937E-4</c:v>
                </c:pt>
                <c:pt idx="131">
                  <c:v>4.5656470588235329E-4</c:v>
                </c:pt>
                <c:pt idx="132">
                  <c:v>4.5325847750865062E-4</c:v>
                </c:pt>
                <c:pt idx="133">
                  <c:v>4.4985051903114213E-4</c:v>
                </c:pt>
                <c:pt idx="134">
                  <c:v>4.4634083044982711E-4</c:v>
                </c:pt>
                <c:pt idx="135">
                  <c:v>4.4272941176470615E-4</c:v>
                </c:pt>
                <c:pt idx="136">
                  <c:v>4.3901626297577882E-4</c:v>
                </c:pt>
                <c:pt idx="137">
                  <c:v>4.3520138408304518E-4</c:v>
                </c:pt>
                <c:pt idx="138">
                  <c:v>4.3128477508650543E-4</c:v>
                </c:pt>
                <c:pt idx="139">
                  <c:v>4.2726643598615932E-4</c:v>
                </c:pt>
                <c:pt idx="140">
                  <c:v>4.2314636678200711E-4</c:v>
                </c:pt>
                <c:pt idx="141">
                  <c:v>4.1892456747404891E-4</c:v>
                </c:pt>
                <c:pt idx="142">
                  <c:v>4.1460103806228413E-4</c:v>
                </c:pt>
                <c:pt idx="143">
                  <c:v>4.1017577854671325E-4</c:v>
                </c:pt>
                <c:pt idx="144">
                  <c:v>4.0564878892733588E-4</c:v>
                </c:pt>
                <c:pt idx="145">
                  <c:v>4.0102006920415253E-4</c:v>
                </c:pt>
                <c:pt idx="146">
                  <c:v>3.9628961937716297E-4</c:v>
                </c:pt>
                <c:pt idx="147">
                  <c:v>3.9145743944636721E-4</c:v>
                </c:pt>
                <c:pt idx="148">
                  <c:v>3.8652352941176519E-4</c:v>
                </c:pt>
                <c:pt idx="149">
                  <c:v>3.8148788927335668E-4</c:v>
                </c:pt>
                <c:pt idx="150">
                  <c:v>3.7635051903114203E-4</c:v>
                </c:pt>
                <c:pt idx="151">
                  <c:v>3.7111141868512133E-4</c:v>
                </c:pt>
                <c:pt idx="152">
                  <c:v>3.6577058823529442E-4</c:v>
                </c:pt>
                <c:pt idx="153">
                  <c:v>3.6032802768166104E-4</c:v>
                </c:pt>
                <c:pt idx="154">
                  <c:v>3.5478373702422166E-4</c:v>
                </c:pt>
                <c:pt idx="155">
                  <c:v>3.4913771626297587E-4</c:v>
                </c:pt>
                <c:pt idx="156">
                  <c:v>3.4338996539792403E-4</c:v>
                </c:pt>
                <c:pt idx="157">
                  <c:v>3.3754048442906603E-4</c:v>
                </c:pt>
                <c:pt idx="158">
                  <c:v>3.3158927335640178E-4</c:v>
                </c:pt>
                <c:pt idx="159">
                  <c:v>3.2553633217993083E-4</c:v>
                </c:pt>
                <c:pt idx="160">
                  <c:v>3.1938166089965411E-4</c:v>
                </c:pt>
                <c:pt idx="161">
                  <c:v>3.1312525951557118E-4</c:v>
                </c:pt>
                <c:pt idx="162">
                  <c:v>3.0676712802768199E-4</c:v>
                </c:pt>
                <c:pt idx="163">
                  <c:v>3.0030726643598637E-4</c:v>
                </c:pt>
                <c:pt idx="164">
                  <c:v>2.9374567474048477E-4</c:v>
                </c:pt>
                <c:pt idx="165">
                  <c:v>2.8708235294117675E-4</c:v>
                </c:pt>
                <c:pt idx="166">
                  <c:v>2.803173010380624E-4</c:v>
                </c:pt>
                <c:pt idx="167">
                  <c:v>2.734505190311424E-4</c:v>
                </c:pt>
                <c:pt idx="168">
                  <c:v>2.6648200692041564E-4</c:v>
                </c:pt>
                <c:pt idx="169">
                  <c:v>2.5941176470588268E-4</c:v>
                </c:pt>
                <c:pt idx="170">
                  <c:v>2.5223979238754351E-4</c:v>
                </c:pt>
                <c:pt idx="171">
                  <c:v>2.4496608996539809E-4</c:v>
                </c:pt>
                <c:pt idx="172">
                  <c:v>2.3759065743944667E-4</c:v>
                </c:pt>
                <c:pt idx="173">
                  <c:v>2.3011349480968858E-4</c:v>
                </c:pt>
                <c:pt idx="174">
                  <c:v>2.2253460207612448E-4</c:v>
                </c:pt>
                <c:pt idx="175">
                  <c:v>2.1485397923875441E-4</c:v>
                </c:pt>
                <c:pt idx="176">
                  <c:v>2.0707162629757787E-4</c:v>
                </c:pt>
                <c:pt idx="177">
                  <c:v>1.9918754325259536E-4</c:v>
                </c:pt>
                <c:pt idx="178">
                  <c:v>1.9120173010380614E-4</c:v>
                </c:pt>
                <c:pt idx="179">
                  <c:v>1.8311418685121092E-4</c:v>
                </c:pt>
                <c:pt idx="180">
                  <c:v>1.7492491349480971E-4</c:v>
                </c:pt>
                <c:pt idx="181">
                  <c:v>1.6663391003460205E-4</c:v>
                </c:pt>
                <c:pt idx="182">
                  <c:v>1.582411764705884E-4</c:v>
                </c:pt>
                <c:pt idx="183">
                  <c:v>1.4974671280276806E-4</c:v>
                </c:pt>
                <c:pt idx="184">
                  <c:v>1.4115051903114197E-4</c:v>
                </c:pt>
                <c:pt idx="185">
                  <c:v>1.3245259515570941E-4</c:v>
                </c:pt>
                <c:pt idx="186">
                  <c:v>1.2365294117647061E-4</c:v>
                </c:pt>
                <c:pt idx="187">
                  <c:v>1.1475155709342585E-4</c:v>
                </c:pt>
                <c:pt idx="188">
                  <c:v>1.0574844290657462E-4</c:v>
                </c:pt>
                <c:pt idx="189">
                  <c:v>9.664359861591716E-5</c:v>
                </c:pt>
                <c:pt idx="190">
                  <c:v>8.7437024221453236E-5</c:v>
                </c:pt>
                <c:pt idx="191">
                  <c:v>7.8128719723183579E-5</c:v>
                </c:pt>
                <c:pt idx="192">
                  <c:v>6.8718685121107445E-5</c:v>
                </c:pt>
                <c:pt idx="193">
                  <c:v>5.9206920415224846E-5</c:v>
                </c:pt>
                <c:pt idx="194">
                  <c:v>4.9593425605536509E-5</c:v>
                </c:pt>
                <c:pt idx="195">
                  <c:v>3.9878200692041463E-5</c:v>
                </c:pt>
                <c:pt idx="196">
                  <c:v>3.0061245674740675E-5</c:v>
                </c:pt>
                <c:pt idx="197">
                  <c:v>2.0142560553633182E-5</c:v>
                </c:pt>
                <c:pt idx="198">
                  <c:v>1.0122145328719703E-5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4F-4C8E-B4D3-F6CD697EC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078912"/>
        <c:axId val="1066079392"/>
      </c:scatterChart>
      <c:valAx>
        <c:axId val="10660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79392"/>
        <c:crosses val="autoZero"/>
        <c:crossBetween val="midCat"/>
      </c:valAx>
      <c:valAx>
        <c:axId val="10660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7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108513</xdr:colOff>
      <xdr:row>5</xdr:row>
      <xdr:rowOff>89285</xdr:rowOff>
    </xdr:from>
    <xdr:to>
      <xdr:col>28</xdr:col>
      <xdr:colOff>470222</xdr:colOff>
      <xdr:row>44</xdr:row>
      <xdr:rowOff>132627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EF9C5-E9F6-FF9D-1714-C4DD2A891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349651</xdr:colOff>
      <xdr:row>24</xdr:row>
      <xdr:rowOff>156741</xdr:rowOff>
    </xdr:from>
    <xdr:to>
      <xdr:col>40</xdr:col>
      <xdr:colOff>458162</xdr:colOff>
      <xdr:row>44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F2DA98-2702-EF81-D99B-2A6C98B87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533400</xdr:colOff>
      <xdr:row>1</xdr:row>
      <xdr:rowOff>95250</xdr:rowOff>
    </xdr:from>
    <xdr:to>
      <xdr:col>28</xdr:col>
      <xdr:colOff>93927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E56FB-F2B5-416A-7756-76AC80F27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1700" y="285750"/>
          <a:ext cx="4437327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3</xdr:row>
      <xdr:rowOff>123825</xdr:rowOff>
    </xdr:from>
    <xdr:to>
      <xdr:col>12</xdr:col>
      <xdr:colOff>57649</xdr:colOff>
      <xdr:row>14</xdr:row>
      <xdr:rowOff>143171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F30188-51B9-ED5B-FEDF-A5447D8C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775" y="695325"/>
          <a:ext cx="3572374" cy="2124371"/>
        </a:xfrm>
        <a:prstGeom prst="rect">
          <a:avLst/>
        </a:prstGeom>
      </xdr:spPr>
    </xdr:pic>
    <xdr:clientData/>
  </xdr:twoCellAnchor>
  <xdr:twoCellAnchor editAs="oneCell">
    <xdr:from>
      <xdr:col>6</xdr:col>
      <xdr:colOff>75786</xdr:colOff>
      <xdr:row>16</xdr:row>
      <xdr:rowOff>50938</xdr:rowOff>
    </xdr:from>
    <xdr:to>
      <xdr:col>13</xdr:col>
      <xdr:colOff>305014</xdr:colOff>
      <xdr:row>38</xdr:row>
      <xdr:rowOff>80102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5A2B95-7396-33BE-2BC2-65064C60B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2938" y="3107221"/>
          <a:ext cx="4519619" cy="4220164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18</xdr:row>
      <xdr:rowOff>133350</xdr:rowOff>
    </xdr:from>
    <xdr:to>
      <xdr:col>21</xdr:col>
      <xdr:colOff>134005</xdr:colOff>
      <xdr:row>32</xdr:row>
      <xdr:rowOff>143249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F791A3-9A03-6A32-41C8-C89470E0A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15425" y="3571875"/>
          <a:ext cx="4696480" cy="2676899"/>
        </a:xfrm>
        <a:prstGeom prst="rect">
          <a:avLst/>
        </a:prstGeom>
      </xdr:spPr>
    </xdr:pic>
    <xdr:clientData/>
  </xdr:twoCellAnchor>
  <xdr:twoCellAnchor editAs="oneCell">
    <xdr:from>
      <xdr:col>12</xdr:col>
      <xdr:colOff>290720</xdr:colOff>
      <xdr:row>3</xdr:row>
      <xdr:rowOff>123824</xdr:rowOff>
    </xdr:from>
    <xdr:to>
      <xdr:col>18</xdr:col>
      <xdr:colOff>148335</xdr:colOff>
      <xdr:row>17</xdr:row>
      <xdr:rowOff>75324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3346C2-D23D-B5CC-3522-5ADBB8F5A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2220" y="695324"/>
          <a:ext cx="3515215" cy="2628025"/>
        </a:xfrm>
        <a:prstGeom prst="rect">
          <a:avLst/>
        </a:prstGeom>
      </xdr:spPr>
    </xdr:pic>
    <xdr:clientData/>
  </xdr:twoCellAnchor>
  <xdr:twoCellAnchor editAs="oneCell">
    <xdr:from>
      <xdr:col>21</xdr:col>
      <xdr:colOff>239486</xdr:colOff>
      <xdr:row>19</xdr:row>
      <xdr:rowOff>100583</xdr:rowOff>
    </xdr:from>
    <xdr:to>
      <xdr:col>28</xdr:col>
      <xdr:colOff>288471</xdr:colOff>
      <xdr:row>39</xdr:row>
      <xdr:rowOff>7589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2D4876-EDD1-A9E1-7C4C-383BA54AC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17386" y="3729608"/>
          <a:ext cx="4316185" cy="3717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171450</xdr:rowOff>
    </xdr:from>
    <xdr:to>
      <xdr:col>9</xdr:col>
      <xdr:colOff>302044</xdr:colOff>
      <xdr:row>37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B08E48-3DF2-4C70-5B17-2FF9BB801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038475"/>
          <a:ext cx="6664744" cy="4200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9D6E2-F57B-4F17-A622-7D5615C30F6E}" name="Table1" displayName="Table1" ref="A6:N206" totalsRowShown="0">
  <autoFilter ref="A6:N206" xr:uid="{1749D6E2-F57B-4F17-A622-7D5615C30F6E}"/>
  <tableColumns count="14">
    <tableColumn id="1" xr3:uid="{23F6CC53-3B36-4029-B0F9-0B2E17461A61}" name="Duty"/>
    <tableColumn id="2" xr3:uid="{72C47EA4-9324-4828-98C8-9B0EE22F0B71}" name="Vout">
      <calculatedColumnFormula>A7*Vin</calculatedColumnFormula>
    </tableColumn>
    <tableColumn id="3" xr3:uid="{01E6AF75-363D-4D18-BF41-D53DB3E826CB}" name="Ripple Current (A)" dataDxfId="11">
      <calculatedColumnFormula>(Vin-Table1[[#This Row],[Vout]])*Table1[[#This Row],[Duty]]/(Frequency*Inductance)</calculatedColumnFormula>
    </tableColumn>
    <tableColumn id="4" xr3:uid="{A95A4DDE-7299-4DAA-99F9-F21CB7A44D53}" name="Imin" dataDxfId="10">
      <calculatedColumnFormula>Irms-Table1[[#This Row],[Ripple Current (A)]]</calculatedColumnFormula>
    </tableColumn>
    <tableColumn id="5" xr3:uid="{8A80347B-130C-4B04-843B-31F8ECDFD466}" name="Imax" dataDxfId="9">
      <calculatedColumnFormula>Irms+Table1[[#This Row],[Ripple Current (A)]]</calculatedColumnFormula>
    </tableColumn>
    <tableColumn id="6" xr3:uid="{561F2B25-8B8A-48AF-8F96-80051E4F2FAA}" name="Pout" dataDxfId="8">
      <calculatedColumnFormula>Table1[[#This Row],[Vout]]*(Table1[[#This Row],[Imin]]+Table1[[#This Row],[Ripple Current (A)]])</calculatedColumnFormula>
    </tableColumn>
    <tableColumn id="7" xr3:uid="{D840E4EF-CCFF-4908-A07D-DBDC876AC307}" name="Energy/Cycle" dataDxfId="7">
      <calculatedColumnFormula>Table1[[#This Row],[Pout]]/Frequency</calculatedColumnFormula>
    </tableColumn>
    <tableColumn id="8" xr3:uid="{BA13BA90-82E7-40E4-A6A7-48B2A9F76EF6}" name="Time On" dataDxfId="6">
      <calculatedColumnFormula>Table1[[#This Row],[Duty]]/Frequency</calculatedColumnFormula>
    </tableColumn>
    <tableColumn id="9" xr3:uid="{4261E913-D5FD-4A82-B442-C0EB70A2E3AF}" name="Idc" dataDxfId="5">
      <calculatedColumnFormula>Table1[[#This Row],[Pout]]/Vin</calculatedColumnFormula>
    </tableColumn>
    <tableColumn id="10" xr3:uid="{7CFB591A-2F1C-436D-854A-BA2D8156BC58}" name="Edc" dataDxfId="4">
      <calculatedColumnFormula>Vin*Table1[[#This Row],[Idc]]*Table1[[#This Row],[Time On]]</calculatedColumnFormula>
    </tableColumn>
    <tableColumn id="11" xr3:uid="{1B5E7B8E-5F64-464F-A620-E7D8F59A210E}" name="E Capacitor" dataDxfId="3">
      <calculatedColumnFormula>Table1[[#This Row],[Energy/Cycle]]-Table1[[#This Row],[Edc]]</calculatedColumnFormula>
    </tableColumn>
    <tableColumn id="12" xr3:uid="{A059028F-0EA9-4CCC-836E-52A5B8B561A5}" name="Capacitor" dataDxfId="2">
      <calculatedColumnFormula>2*Table1[[#This Row],[E Capacitor]]/(Vin^2-(Vin-V_ripple)^2)</calculatedColumnFormula>
    </tableColumn>
    <tableColumn id="13" xr3:uid="{E2DA0FA2-D279-47DA-AD7A-24B445877473}" name="Ein vs Eout" dataDxfId="1">
      <calculatedColumnFormula>Table1[[#This Row],[Energy/Cycle]]-(Table1[[#This Row],[E Capacitor]]+Table1[[#This Row],[Edc]])</calculatedColumnFormula>
    </tableColumn>
    <tableColumn id="14" xr3:uid="{198AFB52-E964-48D1-9D45-376728774552}" name="RMS Capacitor Current" dataDxfId="0">
      <calculatedColumnFormula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nalog.com/jp/resources/technical-articles/input-and-output-noise-in-buck-converters-explained.html" TargetMode="External"/><Relationship Id="rId1" Type="http://schemas.openxmlformats.org/officeDocument/2006/relationships/hyperlink" Target="https://www.ti.com/lit/an/slyt670/slyt670.pdf?ts=1765201853109&amp;ref_url=https%253A%252F%252Fwww.google.com%252F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AE97-DC33-4C9B-BD73-D2C2C7CD3E2D}">
  <dimension ref="A1:P206"/>
  <sheetViews>
    <sheetView tabSelected="1" zoomScale="79" workbookViewId="0">
      <selection activeCell="B3" sqref="B3"/>
    </sheetView>
  </sheetViews>
  <sheetFormatPr defaultRowHeight="15" x14ac:dyDescent="0.25"/>
  <cols>
    <col min="3" max="3" width="15.5703125" customWidth="1"/>
    <col min="4" max="4" width="23.140625" bestFit="1" customWidth="1"/>
    <col min="8" max="8" width="10" bestFit="1" customWidth="1"/>
  </cols>
  <sheetData>
    <row r="1" spans="1:16" x14ac:dyDescent="0.25">
      <c r="A1" t="s">
        <v>0</v>
      </c>
      <c r="B1" s="1">
        <v>6000</v>
      </c>
      <c r="D1" t="s">
        <v>21</v>
      </c>
      <c r="E1" s="3">
        <f>MAX(Table1[Capacitor])</f>
        <v>5.0865051903114221E-4</v>
      </c>
      <c r="G1" t="s">
        <v>23</v>
      </c>
    </row>
    <row r="2" spans="1:16" x14ac:dyDescent="0.25">
      <c r="A2" t="s">
        <v>1</v>
      </c>
      <c r="B2" s="1">
        <v>5.0000000000000001E-4</v>
      </c>
      <c r="D2" t="s">
        <v>18</v>
      </c>
      <c r="E2">
        <f>E1/0.000005</f>
        <v>101.73010380622843</v>
      </c>
      <c r="G2" t="s">
        <v>22</v>
      </c>
      <c r="P2" t="s">
        <v>24</v>
      </c>
    </row>
    <row r="3" spans="1:16" x14ac:dyDescent="0.25">
      <c r="A3" t="s">
        <v>2</v>
      </c>
      <c r="B3">
        <v>29.4</v>
      </c>
      <c r="D3" t="s">
        <v>19</v>
      </c>
      <c r="E3">
        <f>(3.2+1)*(2.5+1)</f>
        <v>14.700000000000001</v>
      </c>
      <c r="P3" t="s">
        <v>25</v>
      </c>
    </row>
    <row r="4" spans="1:16" x14ac:dyDescent="0.25">
      <c r="A4" t="s">
        <v>6</v>
      </c>
      <c r="B4">
        <v>12</v>
      </c>
      <c r="D4" t="s">
        <v>20</v>
      </c>
      <c r="E4">
        <f>E3*E2</f>
        <v>1495.4325259515581</v>
      </c>
      <c r="P4" t="s">
        <v>27</v>
      </c>
    </row>
    <row r="5" spans="1:16" x14ac:dyDescent="0.25">
      <c r="A5" t="s">
        <v>15</v>
      </c>
      <c r="B5" s="1">
        <v>1</v>
      </c>
      <c r="P5" t="s">
        <v>26</v>
      </c>
    </row>
    <row r="6" spans="1:16" x14ac:dyDescent="0.25">
      <c r="A6" t="s">
        <v>3</v>
      </c>
      <c r="B6" t="s">
        <v>4</v>
      </c>
      <c r="C6" t="s">
        <v>5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16</v>
      </c>
      <c r="M6" t="s">
        <v>17</v>
      </c>
      <c r="N6" t="s">
        <v>28</v>
      </c>
    </row>
    <row r="7" spans="1:16" x14ac:dyDescent="0.25">
      <c r="A7">
        <v>5.0000000000000001E-3</v>
      </c>
      <c r="B7">
        <f t="shared" ref="B7:B38" si="0">A7*Vin</f>
        <v>0.14699999999999999</v>
      </c>
      <c r="C7">
        <f>(Vin-Table1[[#This Row],[Vout]])*Table1[[#This Row],[Duty]]/(Frequency*Inductance)</f>
        <v>4.8755E-2</v>
      </c>
      <c r="D7">
        <f>Irms-Table1[[#This Row],[Ripple Current (A)]]</f>
        <v>11.951245</v>
      </c>
      <c r="E7">
        <f>Irms+Table1[[#This Row],[Ripple Current (A)]]</f>
        <v>12.048755</v>
      </c>
      <c r="F7">
        <f>Table1[[#This Row],[Vout]]*(Table1[[#This Row],[Imin]]+Table1[[#This Row],[Ripple Current (A)]])</f>
        <v>1.7639999999999998</v>
      </c>
      <c r="G7" s="1">
        <f>Table1[[#This Row],[Pout]]/Frequency</f>
        <v>2.9399999999999999E-4</v>
      </c>
      <c r="H7" s="1">
        <f>Table1[[#This Row],[Duty]]/Frequency</f>
        <v>8.3333333333333333E-7</v>
      </c>
      <c r="I7" s="1">
        <f>Table1[[#This Row],[Pout]]/Vin</f>
        <v>0.06</v>
      </c>
      <c r="J7" s="1">
        <f>Vin*Table1[[#This Row],[Idc]]*Table1[[#This Row],[Time On]]</f>
        <v>1.4699999999999999E-6</v>
      </c>
      <c r="K7" s="1">
        <f>Table1[[#This Row],[Energy/Cycle]]-Table1[[#This Row],[Edc]]</f>
        <v>2.9252999999999999E-4</v>
      </c>
      <c r="L7" s="1">
        <f>2*Table1[[#This Row],[E Capacitor]]/(Vin^2-(Vin-V_ripple)^2)</f>
        <v>1.0122145328719732E-5</v>
      </c>
      <c r="M7" s="1">
        <f>Table1[[#This Row],[Energy/Cycle]]-(Table1[[#This Row],[E Capacitor]]+Table1[[#This Row],[Edc]])</f>
        <v>0</v>
      </c>
      <c r="N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0.84640181843493123</v>
      </c>
    </row>
    <row r="8" spans="1:16" x14ac:dyDescent="0.25">
      <c r="A8">
        <v>0.01</v>
      </c>
      <c r="B8">
        <f t="shared" si="0"/>
        <v>0.29399999999999998</v>
      </c>
      <c r="C8">
        <f>(Vin-Table1[[#This Row],[Vout]])*Table1[[#This Row],[Duty]]/(Frequency*Inductance)</f>
        <v>9.7019999999999995E-2</v>
      </c>
      <c r="D8">
        <f>Irms-Table1[[#This Row],[Ripple Current (A)]]</f>
        <v>11.902979999999999</v>
      </c>
      <c r="E8">
        <f>Irms+Table1[[#This Row],[Ripple Current (A)]]</f>
        <v>12.097020000000001</v>
      </c>
      <c r="F8">
        <f>Table1[[#This Row],[Vout]]*(Table1[[#This Row],[Imin]]+Table1[[#This Row],[Ripple Current (A)]])</f>
        <v>3.5279999999999996</v>
      </c>
      <c r="G8" s="1">
        <f>Table1[[#This Row],[Pout]]/Frequency</f>
        <v>5.8799999999999998E-4</v>
      </c>
      <c r="H8" s="1">
        <f>Table1[[#This Row],[Duty]]/Frequency</f>
        <v>1.6666666666666667E-6</v>
      </c>
      <c r="I8" s="1">
        <f>Table1[[#This Row],[Pout]]/Vin</f>
        <v>0.12</v>
      </c>
      <c r="J8" s="1">
        <f>Vin*Table1[[#This Row],[Idc]]*Table1[[#This Row],[Time On]]</f>
        <v>5.8799999999999996E-6</v>
      </c>
      <c r="K8" s="1">
        <f>Table1[[#This Row],[Energy/Cycle]]-Table1[[#This Row],[Edc]]</f>
        <v>5.8211999999999999E-4</v>
      </c>
      <c r="L8" s="1">
        <f>2*Table1[[#This Row],[E Capacitor]]/(Vin^2-(Vin-V_ripple)^2)</f>
        <v>2.0142560553633233E-5</v>
      </c>
      <c r="M8" s="1">
        <f>Table1[[#This Row],[Energy/Cycle]]-(Table1[[#This Row],[E Capacitor]]+Table1[[#This Row],[Edc]])</f>
        <v>0</v>
      </c>
      <c r="N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1.1939717851490461</v>
      </c>
    </row>
    <row r="9" spans="1:16" x14ac:dyDescent="0.25">
      <c r="A9">
        <v>1.4999999999999999E-2</v>
      </c>
      <c r="B9">
        <f t="shared" si="0"/>
        <v>0.44099999999999995</v>
      </c>
      <c r="C9">
        <f>(Vin-Table1[[#This Row],[Vout]])*Table1[[#This Row],[Duty]]/(Frequency*Inductance)</f>
        <v>0.14479499999999998</v>
      </c>
      <c r="D9">
        <f>Irms-Table1[[#This Row],[Ripple Current (A)]]</f>
        <v>11.855205</v>
      </c>
      <c r="E9">
        <f>Irms+Table1[[#This Row],[Ripple Current (A)]]</f>
        <v>12.144795</v>
      </c>
      <c r="F9">
        <f>Table1[[#This Row],[Vout]]*(Table1[[#This Row],[Imin]]+Table1[[#This Row],[Ripple Current (A)]])</f>
        <v>5.2919999999999998</v>
      </c>
      <c r="G9" s="1">
        <f>Table1[[#This Row],[Pout]]/Frequency</f>
        <v>8.8199999999999997E-4</v>
      </c>
      <c r="H9" s="1">
        <f>Table1[[#This Row],[Duty]]/Frequency</f>
        <v>2.4999999999999998E-6</v>
      </c>
      <c r="I9" s="1">
        <f>Table1[[#This Row],[Pout]]/Vin</f>
        <v>0.18</v>
      </c>
      <c r="J9" s="1">
        <f>Vin*Table1[[#This Row],[Idc]]*Table1[[#This Row],[Time On]]</f>
        <v>1.3229999999999999E-5</v>
      </c>
      <c r="K9" s="1">
        <f>Table1[[#This Row],[Energy/Cycle]]-Table1[[#This Row],[Edc]]</f>
        <v>8.6876999999999994E-4</v>
      </c>
      <c r="L9" s="1">
        <f>2*Table1[[#This Row],[E Capacitor]]/(Vin^2-(Vin-V_ripple)^2)</f>
        <v>3.0061245674740506E-5</v>
      </c>
      <c r="M9" s="1">
        <f>Table1[[#This Row],[Energy/Cycle]]-(Table1[[#This Row],[E Capacitor]]+Table1[[#This Row],[Edc]])</f>
        <v>0</v>
      </c>
      <c r="N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1.4585935595771273</v>
      </c>
    </row>
    <row r="10" spans="1:16" x14ac:dyDescent="0.25">
      <c r="A10">
        <v>0.02</v>
      </c>
      <c r="B10">
        <f t="shared" si="0"/>
        <v>0.58799999999999997</v>
      </c>
      <c r="C10">
        <f>(Vin-Table1[[#This Row],[Vout]])*Table1[[#This Row],[Duty]]/(Frequency*Inductance)</f>
        <v>0.19208</v>
      </c>
      <c r="D10">
        <f>Irms-Table1[[#This Row],[Ripple Current (A)]]</f>
        <v>11.807919999999999</v>
      </c>
      <c r="E10">
        <f>Irms+Table1[[#This Row],[Ripple Current (A)]]</f>
        <v>12.192080000000001</v>
      </c>
      <c r="F10">
        <f>Table1[[#This Row],[Vout]]*(Table1[[#This Row],[Imin]]+Table1[[#This Row],[Ripple Current (A)]])</f>
        <v>7.0559999999999992</v>
      </c>
      <c r="G10" s="1">
        <f>Table1[[#This Row],[Pout]]/Frequency</f>
        <v>1.176E-3</v>
      </c>
      <c r="H10" s="1">
        <f>Table1[[#This Row],[Duty]]/Frequency</f>
        <v>3.3333333333333333E-6</v>
      </c>
      <c r="I10" s="1">
        <f>Table1[[#This Row],[Pout]]/Vin</f>
        <v>0.24</v>
      </c>
      <c r="J10" s="1">
        <f>Vin*Table1[[#This Row],[Idc]]*Table1[[#This Row],[Time On]]</f>
        <v>2.3519999999999998E-5</v>
      </c>
      <c r="K10" s="1">
        <f>Table1[[#This Row],[Energy/Cycle]]-Table1[[#This Row],[Edc]]</f>
        <v>1.15248E-3</v>
      </c>
      <c r="L10" s="1">
        <f>2*Table1[[#This Row],[E Capacitor]]/(Vin^2-(Vin-V_ripple)^2)</f>
        <v>3.9878200692041551E-5</v>
      </c>
      <c r="M10" s="1">
        <f>Table1[[#This Row],[Energy/Cycle]]-(Table1[[#This Row],[E Capacitor]]+Table1[[#This Row],[Edc]])</f>
        <v>0</v>
      </c>
      <c r="N1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1.6799267945828273</v>
      </c>
    </row>
    <row r="11" spans="1:16" x14ac:dyDescent="0.25">
      <c r="A11">
        <v>2.5000000000000001E-2</v>
      </c>
      <c r="B11">
        <f t="shared" si="0"/>
        <v>0.73499999999999999</v>
      </c>
      <c r="C11">
        <f>(Vin-Table1[[#This Row],[Vout]])*Table1[[#This Row],[Duty]]/(Frequency*Inductance)</f>
        <v>0.23887500000000003</v>
      </c>
      <c r="D11">
        <f>Irms-Table1[[#This Row],[Ripple Current (A)]]</f>
        <v>11.761125</v>
      </c>
      <c r="E11">
        <f>Irms+Table1[[#This Row],[Ripple Current (A)]]</f>
        <v>12.238875</v>
      </c>
      <c r="F11">
        <f>Table1[[#This Row],[Vout]]*(Table1[[#This Row],[Imin]]+Table1[[#This Row],[Ripple Current (A)]])</f>
        <v>8.82</v>
      </c>
      <c r="G11" s="1">
        <f>Table1[[#This Row],[Pout]]/Frequency</f>
        <v>1.47E-3</v>
      </c>
      <c r="H11" s="1">
        <f>Table1[[#This Row],[Duty]]/Frequency</f>
        <v>4.1666666666666669E-6</v>
      </c>
      <c r="I11" s="1">
        <f>Table1[[#This Row],[Pout]]/Vin</f>
        <v>0.30000000000000004</v>
      </c>
      <c r="J11" s="1">
        <f>Vin*Table1[[#This Row],[Idc]]*Table1[[#This Row],[Time On]]</f>
        <v>3.6750000000000006E-5</v>
      </c>
      <c r="K11" s="1">
        <f>Table1[[#This Row],[Energy/Cycle]]-Table1[[#This Row],[Edc]]</f>
        <v>1.4332499999999998E-3</v>
      </c>
      <c r="L11" s="1">
        <f>2*Table1[[#This Row],[E Capacitor]]/(Vin^2-(Vin-V_ripple)^2)</f>
        <v>4.9593425605536366E-5</v>
      </c>
      <c r="M11" s="1">
        <f>Table1[[#This Row],[Energy/Cycle]]-(Table1[[#This Row],[E Capacitor]]+Table1[[#This Row],[Edc]])</f>
        <v>0</v>
      </c>
      <c r="N1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1.873372490844553</v>
      </c>
    </row>
    <row r="12" spans="1:16" x14ac:dyDescent="0.25">
      <c r="A12">
        <v>0.03</v>
      </c>
      <c r="B12">
        <f t="shared" si="0"/>
        <v>0.8819999999999999</v>
      </c>
      <c r="C12">
        <f>(Vin-Table1[[#This Row],[Vout]])*Table1[[#This Row],[Duty]]/(Frequency*Inductance)</f>
        <v>0.28517999999999993</v>
      </c>
      <c r="D12">
        <f>Irms-Table1[[#This Row],[Ripple Current (A)]]</f>
        <v>11.71482</v>
      </c>
      <c r="E12">
        <f>Irms+Table1[[#This Row],[Ripple Current (A)]]</f>
        <v>12.28518</v>
      </c>
      <c r="F12">
        <f>Table1[[#This Row],[Vout]]*(Table1[[#This Row],[Imin]]+Table1[[#This Row],[Ripple Current (A)]])</f>
        <v>10.584</v>
      </c>
      <c r="G12" s="1">
        <f>Table1[[#This Row],[Pout]]/Frequency</f>
        <v>1.7639999999999999E-3</v>
      </c>
      <c r="H12" s="1">
        <f>Table1[[#This Row],[Duty]]/Frequency</f>
        <v>4.9999999999999996E-6</v>
      </c>
      <c r="I12" s="1">
        <f>Table1[[#This Row],[Pout]]/Vin</f>
        <v>0.36</v>
      </c>
      <c r="J12" s="1">
        <f>Vin*Table1[[#This Row],[Idc]]*Table1[[#This Row],[Time On]]</f>
        <v>5.2919999999999995E-5</v>
      </c>
      <c r="K12" s="1">
        <f>Table1[[#This Row],[Energy/Cycle]]-Table1[[#This Row],[Edc]]</f>
        <v>1.71108E-3</v>
      </c>
      <c r="L12" s="1">
        <f>2*Table1[[#This Row],[E Capacitor]]/(Vin^2-(Vin-V_ripple)^2)</f>
        <v>5.9206920415224962E-5</v>
      </c>
      <c r="M12" s="1">
        <f>Table1[[#This Row],[Energy/Cycle]]-(Table1[[#This Row],[E Capacitor]]+Table1[[#This Row],[Edc]])</f>
        <v>0</v>
      </c>
      <c r="N1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2.0468479972083906</v>
      </c>
    </row>
    <row r="13" spans="1:16" x14ac:dyDescent="0.25">
      <c r="A13">
        <v>3.5000000000000003E-2</v>
      </c>
      <c r="B13">
        <f t="shared" si="0"/>
        <v>1.0290000000000001</v>
      </c>
      <c r="C13">
        <f>(Vin-Table1[[#This Row],[Vout]])*Table1[[#This Row],[Duty]]/(Frequency*Inductance)</f>
        <v>0.33099499999999998</v>
      </c>
      <c r="D13">
        <f>Irms-Table1[[#This Row],[Ripple Current (A)]]</f>
        <v>11.669005</v>
      </c>
      <c r="E13">
        <f>Irms+Table1[[#This Row],[Ripple Current (A)]]</f>
        <v>12.330995</v>
      </c>
      <c r="F13">
        <f>Table1[[#This Row],[Vout]]*(Table1[[#This Row],[Imin]]+Table1[[#This Row],[Ripple Current (A)]])</f>
        <v>12.348000000000003</v>
      </c>
      <c r="G13" s="1">
        <f>Table1[[#This Row],[Pout]]/Frequency</f>
        <v>2.0580000000000004E-3</v>
      </c>
      <c r="H13" s="1">
        <f>Table1[[#This Row],[Duty]]/Frequency</f>
        <v>5.833333333333334E-6</v>
      </c>
      <c r="I13" s="1">
        <f>Table1[[#This Row],[Pout]]/Vin</f>
        <v>0.4200000000000001</v>
      </c>
      <c r="J13" s="1">
        <f>Vin*Table1[[#This Row],[Idc]]*Table1[[#This Row],[Time On]]</f>
        <v>7.2030000000000027E-5</v>
      </c>
      <c r="K13" s="1">
        <f>Table1[[#This Row],[Energy/Cycle]]-Table1[[#This Row],[Edc]]</f>
        <v>1.9859700000000005E-3</v>
      </c>
      <c r="L13" s="1">
        <f>2*Table1[[#This Row],[E Capacitor]]/(Vin^2-(Vin-V_ripple)^2)</f>
        <v>6.8718685121107336E-5</v>
      </c>
      <c r="M13" s="1">
        <f>Table1[[#This Row],[Energy/Cycle]]-(Table1[[#This Row],[E Capacitor]]+Table1[[#This Row],[Edc]])</f>
        <v>0</v>
      </c>
      <c r="N1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2.2050673066710931</v>
      </c>
    </row>
    <row r="14" spans="1:16" x14ac:dyDescent="0.25">
      <c r="A14">
        <v>0.04</v>
      </c>
      <c r="B14">
        <f t="shared" si="0"/>
        <v>1.1759999999999999</v>
      </c>
      <c r="C14">
        <f>(Vin-Table1[[#This Row],[Vout]])*Table1[[#This Row],[Duty]]/(Frequency*Inductance)</f>
        <v>0.37631999999999999</v>
      </c>
      <c r="D14">
        <f>Irms-Table1[[#This Row],[Ripple Current (A)]]</f>
        <v>11.62368</v>
      </c>
      <c r="E14">
        <f>Irms+Table1[[#This Row],[Ripple Current (A)]]</f>
        <v>12.37632</v>
      </c>
      <c r="F14">
        <f>Table1[[#This Row],[Vout]]*(Table1[[#This Row],[Imin]]+Table1[[#This Row],[Ripple Current (A)]])</f>
        <v>14.111999999999998</v>
      </c>
      <c r="G14" s="1">
        <f>Table1[[#This Row],[Pout]]/Frequency</f>
        <v>2.3519999999999999E-3</v>
      </c>
      <c r="H14" s="1">
        <f>Table1[[#This Row],[Duty]]/Frequency</f>
        <v>6.6666666666666666E-6</v>
      </c>
      <c r="I14" s="1">
        <f>Table1[[#This Row],[Pout]]/Vin</f>
        <v>0.48</v>
      </c>
      <c r="J14" s="1">
        <f>Vin*Table1[[#This Row],[Idc]]*Table1[[#This Row],[Time On]]</f>
        <v>9.4079999999999994E-5</v>
      </c>
      <c r="K14" s="1">
        <f>Table1[[#This Row],[Energy/Cycle]]-Table1[[#This Row],[Edc]]</f>
        <v>2.2579200000000001E-3</v>
      </c>
      <c r="L14" s="1">
        <f>2*Table1[[#This Row],[E Capacitor]]/(Vin^2-(Vin-V_ripple)^2)</f>
        <v>7.8128719723183457E-5</v>
      </c>
      <c r="M14" s="1">
        <f>Table1[[#This Row],[Energy/Cycle]]-(Table1[[#This Row],[E Capacitor]]+Table1[[#This Row],[Edc]])</f>
        <v>0</v>
      </c>
      <c r="N1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2.3511086271731467</v>
      </c>
    </row>
    <row r="15" spans="1:16" x14ac:dyDescent="0.25">
      <c r="A15">
        <v>4.4999999999999998E-2</v>
      </c>
      <c r="B15">
        <f t="shared" si="0"/>
        <v>1.323</v>
      </c>
      <c r="C15">
        <f>(Vin-Table1[[#This Row],[Vout]])*Table1[[#This Row],[Duty]]/(Frequency*Inductance)</f>
        <v>0.42115499999999995</v>
      </c>
      <c r="D15">
        <f>Irms-Table1[[#This Row],[Ripple Current (A)]]</f>
        <v>11.578844999999999</v>
      </c>
      <c r="E15">
        <f>Irms+Table1[[#This Row],[Ripple Current (A)]]</f>
        <v>12.421155000000001</v>
      </c>
      <c r="F15">
        <f>Table1[[#This Row],[Vout]]*(Table1[[#This Row],[Imin]]+Table1[[#This Row],[Ripple Current (A)]])</f>
        <v>15.875999999999999</v>
      </c>
      <c r="G15" s="1">
        <f>Table1[[#This Row],[Pout]]/Frequency</f>
        <v>2.6459999999999999E-3</v>
      </c>
      <c r="H15" s="1">
        <f>Table1[[#This Row],[Duty]]/Frequency</f>
        <v>7.4999999999999993E-6</v>
      </c>
      <c r="I15" s="1">
        <f>Table1[[#This Row],[Pout]]/Vin</f>
        <v>0.54</v>
      </c>
      <c r="J15" s="1">
        <f>Vin*Table1[[#This Row],[Idc]]*Table1[[#This Row],[Time On]]</f>
        <v>1.1906999999999998E-4</v>
      </c>
      <c r="K15" s="1">
        <f>Table1[[#This Row],[Energy/Cycle]]-Table1[[#This Row],[Edc]]</f>
        <v>2.5269300000000001E-3</v>
      </c>
      <c r="L15" s="1">
        <f>2*Table1[[#This Row],[E Capacitor]]/(Vin^2-(Vin-V_ripple)^2)</f>
        <v>8.7437024221453358E-5</v>
      </c>
      <c r="M15" s="1">
        <f>Table1[[#This Row],[Energy/Cycle]]-(Table1[[#This Row],[E Capacitor]]+Table1[[#This Row],[Edc]])</f>
        <v>0</v>
      </c>
      <c r="N1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2.4871146790989802</v>
      </c>
    </row>
    <row r="16" spans="1:16" x14ac:dyDescent="0.25">
      <c r="A16">
        <v>0.05</v>
      </c>
      <c r="B16">
        <f t="shared" si="0"/>
        <v>1.47</v>
      </c>
      <c r="C16">
        <f>(Vin-Table1[[#This Row],[Vout]])*Table1[[#This Row],[Duty]]/(Frequency*Inductance)</f>
        <v>0.46550000000000002</v>
      </c>
      <c r="D16">
        <f>Irms-Table1[[#This Row],[Ripple Current (A)]]</f>
        <v>11.5345</v>
      </c>
      <c r="E16">
        <f>Irms+Table1[[#This Row],[Ripple Current (A)]]</f>
        <v>12.4655</v>
      </c>
      <c r="F16">
        <f>Table1[[#This Row],[Vout]]*(Table1[[#This Row],[Imin]]+Table1[[#This Row],[Ripple Current (A)]])</f>
        <v>17.64</v>
      </c>
      <c r="G16" s="1">
        <f>Table1[[#This Row],[Pout]]/Frequency</f>
        <v>2.9399999999999999E-3</v>
      </c>
      <c r="H16" s="1">
        <f>Table1[[#This Row],[Duty]]/Frequency</f>
        <v>8.3333333333333337E-6</v>
      </c>
      <c r="I16" s="1">
        <f>Table1[[#This Row],[Pout]]/Vin</f>
        <v>0.60000000000000009</v>
      </c>
      <c r="J16" s="1">
        <f>Vin*Table1[[#This Row],[Idc]]*Table1[[#This Row],[Time On]]</f>
        <v>1.4700000000000002E-4</v>
      </c>
      <c r="K16" s="1">
        <f>Table1[[#This Row],[Energy/Cycle]]-Table1[[#This Row],[Edc]]</f>
        <v>2.7929999999999999E-3</v>
      </c>
      <c r="L16" s="1">
        <f>2*Table1[[#This Row],[E Capacitor]]/(Vin^2-(Vin-V_ripple)^2)</f>
        <v>9.6643598615917025E-5</v>
      </c>
      <c r="M16" s="1">
        <f>Table1[[#This Row],[Energy/Cycle]]-(Table1[[#This Row],[E Capacitor]]+Table1[[#This Row],[Edc]])</f>
        <v>0</v>
      </c>
      <c r="N1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2.6146488283961449</v>
      </c>
    </row>
    <row r="17" spans="1:14" x14ac:dyDescent="0.25">
      <c r="A17">
        <v>5.5E-2</v>
      </c>
      <c r="B17">
        <f t="shared" si="0"/>
        <v>1.617</v>
      </c>
      <c r="C17">
        <f>(Vin-Table1[[#This Row],[Vout]])*Table1[[#This Row],[Duty]]/(Frequency*Inductance)</f>
        <v>0.50935499999999989</v>
      </c>
      <c r="D17">
        <f>Irms-Table1[[#This Row],[Ripple Current (A)]]</f>
        <v>11.490645000000001</v>
      </c>
      <c r="E17">
        <f>Irms+Table1[[#This Row],[Ripple Current (A)]]</f>
        <v>12.509354999999999</v>
      </c>
      <c r="F17">
        <f>Table1[[#This Row],[Vout]]*(Table1[[#This Row],[Imin]]+Table1[[#This Row],[Ripple Current (A)]])</f>
        <v>19.404</v>
      </c>
      <c r="G17" s="1">
        <f>Table1[[#This Row],[Pout]]/Frequency</f>
        <v>3.2339999999999999E-3</v>
      </c>
      <c r="H17" s="1">
        <f>Table1[[#This Row],[Duty]]/Frequency</f>
        <v>9.1666666666666664E-6</v>
      </c>
      <c r="I17" s="1">
        <f>Table1[[#This Row],[Pout]]/Vin</f>
        <v>0.66</v>
      </c>
      <c r="J17" s="1">
        <f>Vin*Table1[[#This Row],[Idc]]*Table1[[#This Row],[Time On]]</f>
        <v>1.7787E-4</v>
      </c>
      <c r="K17" s="1">
        <f>Table1[[#This Row],[Energy/Cycle]]-Table1[[#This Row],[Edc]]</f>
        <v>3.0561299999999998E-3</v>
      </c>
      <c r="L17" s="1">
        <f>2*Table1[[#This Row],[E Capacitor]]/(Vin^2-(Vin-V_ripple)^2)</f>
        <v>1.0574844290657447E-4</v>
      </c>
      <c r="M17" s="1">
        <f>Table1[[#This Row],[Energy/Cycle]]-(Table1[[#This Row],[E Capacitor]]+Table1[[#This Row],[Edc]])</f>
        <v>0</v>
      </c>
      <c r="N1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2.7348937006532585</v>
      </c>
    </row>
    <row r="18" spans="1:14" x14ac:dyDescent="0.25">
      <c r="A18">
        <v>0.06</v>
      </c>
      <c r="B18">
        <f t="shared" si="0"/>
        <v>1.7639999999999998</v>
      </c>
      <c r="C18">
        <f>(Vin-Table1[[#This Row],[Vout]])*Table1[[#This Row],[Duty]]/(Frequency*Inductance)</f>
        <v>0.55271999999999999</v>
      </c>
      <c r="D18">
        <f>Irms-Table1[[#This Row],[Ripple Current (A)]]</f>
        <v>11.447279999999999</v>
      </c>
      <c r="E18">
        <f>Irms+Table1[[#This Row],[Ripple Current (A)]]</f>
        <v>12.552720000000001</v>
      </c>
      <c r="F18">
        <f>Table1[[#This Row],[Vout]]*(Table1[[#This Row],[Imin]]+Table1[[#This Row],[Ripple Current (A)]])</f>
        <v>21.167999999999999</v>
      </c>
      <c r="G18" s="1">
        <f>Table1[[#This Row],[Pout]]/Frequency</f>
        <v>3.5279999999999999E-3</v>
      </c>
      <c r="H18" s="1">
        <f>Table1[[#This Row],[Duty]]/Frequency</f>
        <v>9.9999999999999991E-6</v>
      </c>
      <c r="I18" s="1">
        <f>Table1[[#This Row],[Pout]]/Vin</f>
        <v>0.72</v>
      </c>
      <c r="J18" s="1">
        <f>Vin*Table1[[#This Row],[Idc]]*Table1[[#This Row],[Time On]]</f>
        <v>2.1167999999999998E-4</v>
      </c>
      <c r="K18" s="1">
        <f>Table1[[#This Row],[Energy/Cycle]]-Table1[[#This Row],[Edc]]</f>
        <v>3.3163199999999998E-3</v>
      </c>
      <c r="L18" s="1">
        <f>2*Table1[[#This Row],[E Capacitor]]/(Vin^2-(Vin-V_ripple)^2)</f>
        <v>1.1475155709342568E-4</v>
      </c>
      <c r="M18" s="1">
        <f>Table1[[#This Row],[Energy/Cycle]]-(Table1[[#This Row],[E Capacitor]]+Table1[[#This Row],[Edc]])</f>
        <v>0</v>
      </c>
      <c r="N1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2.8487699120904795</v>
      </c>
    </row>
    <row r="19" spans="1:14" x14ac:dyDescent="0.25">
      <c r="A19">
        <v>6.5000000000000002E-2</v>
      </c>
      <c r="B19">
        <f t="shared" si="0"/>
        <v>1.911</v>
      </c>
      <c r="C19">
        <f>(Vin-Table1[[#This Row],[Vout]])*Table1[[#This Row],[Duty]]/(Frequency*Inductance)</f>
        <v>0.59559499999999999</v>
      </c>
      <c r="D19">
        <f>Irms-Table1[[#This Row],[Ripple Current (A)]]</f>
        <v>11.404405000000001</v>
      </c>
      <c r="E19">
        <f>Irms+Table1[[#This Row],[Ripple Current (A)]]</f>
        <v>12.595594999999999</v>
      </c>
      <c r="F19">
        <f>Table1[[#This Row],[Vout]]*(Table1[[#This Row],[Imin]]+Table1[[#This Row],[Ripple Current (A)]])</f>
        <v>22.932000000000002</v>
      </c>
      <c r="G19" s="1">
        <f>Table1[[#This Row],[Pout]]/Frequency</f>
        <v>3.8220000000000003E-3</v>
      </c>
      <c r="H19" s="1">
        <f>Table1[[#This Row],[Duty]]/Frequency</f>
        <v>1.0833333333333334E-5</v>
      </c>
      <c r="I19" s="1">
        <f>Table1[[#This Row],[Pout]]/Vin</f>
        <v>0.78000000000000014</v>
      </c>
      <c r="J19" s="1">
        <f>Vin*Table1[[#This Row],[Idc]]*Table1[[#This Row],[Time On]]</f>
        <v>2.4843E-4</v>
      </c>
      <c r="K19" s="1">
        <f>Table1[[#This Row],[Energy/Cycle]]-Table1[[#This Row],[Edc]]</f>
        <v>3.5735700000000003E-3</v>
      </c>
      <c r="L19" s="1">
        <f>2*Table1[[#This Row],[E Capacitor]]/(Vin^2-(Vin-V_ripple)^2)</f>
        <v>1.2365294117647069E-4</v>
      </c>
      <c r="M19" s="1">
        <f>Table1[[#This Row],[Energy/Cycle]]-(Table1[[#This Row],[E Capacitor]]+Table1[[#This Row],[Edc]])</f>
        <v>0</v>
      </c>
      <c r="N1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2.9570110093774526</v>
      </c>
    </row>
    <row r="20" spans="1:14" x14ac:dyDescent="0.25">
      <c r="A20">
        <v>7.0000000000000007E-2</v>
      </c>
      <c r="B20">
        <f t="shared" si="0"/>
        <v>2.0580000000000003</v>
      </c>
      <c r="C20">
        <f>(Vin-Table1[[#This Row],[Vout]])*Table1[[#This Row],[Duty]]/(Frequency*Inductance)</f>
        <v>0.6379800000000001</v>
      </c>
      <c r="D20">
        <f>Irms-Table1[[#This Row],[Ripple Current (A)]]</f>
        <v>11.362019999999999</v>
      </c>
      <c r="E20">
        <f>Irms+Table1[[#This Row],[Ripple Current (A)]]</f>
        <v>12.637980000000001</v>
      </c>
      <c r="F20">
        <f>Table1[[#This Row],[Vout]]*(Table1[[#This Row],[Imin]]+Table1[[#This Row],[Ripple Current (A)]])</f>
        <v>24.696000000000005</v>
      </c>
      <c r="G20" s="1">
        <f>Table1[[#This Row],[Pout]]/Frequency</f>
        <v>4.1160000000000007E-3</v>
      </c>
      <c r="H20" s="1">
        <f>Table1[[#This Row],[Duty]]/Frequency</f>
        <v>1.1666666666666668E-5</v>
      </c>
      <c r="I20" s="1">
        <f>Table1[[#This Row],[Pout]]/Vin</f>
        <v>0.84000000000000019</v>
      </c>
      <c r="J20" s="1">
        <f>Vin*Table1[[#This Row],[Idc]]*Table1[[#This Row],[Time On]]</f>
        <v>2.8812000000000011E-4</v>
      </c>
      <c r="K20" s="1">
        <f>Table1[[#This Row],[Energy/Cycle]]-Table1[[#This Row],[Edc]]</f>
        <v>3.8278800000000005E-3</v>
      </c>
      <c r="L20" s="1">
        <f>2*Table1[[#This Row],[E Capacitor]]/(Vin^2-(Vin-V_ripple)^2)</f>
        <v>1.3245259515570946E-4</v>
      </c>
      <c r="M20" s="1">
        <f>Table1[[#This Row],[Energy/Cycle]]-(Table1[[#This Row],[E Capacitor]]+Table1[[#This Row],[Edc]])</f>
        <v>0</v>
      </c>
      <c r="N2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3.0602128850986818</v>
      </c>
    </row>
    <row r="21" spans="1:14" x14ac:dyDescent="0.25">
      <c r="A21">
        <v>7.4999999999999997E-2</v>
      </c>
      <c r="B21">
        <f t="shared" si="0"/>
        <v>2.2049999999999996</v>
      </c>
      <c r="C21">
        <f>(Vin-Table1[[#This Row],[Vout]])*Table1[[#This Row],[Duty]]/(Frequency*Inductance)</f>
        <v>0.67987500000000001</v>
      </c>
      <c r="D21">
        <f>Irms-Table1[[#This Row],[Ripple Current (A)]]</f>
        <v>11.320125000000001</v>
      </c>
      <c r="E21">
        <f>Irms+Table1[[#This Row],[Ripple Current (A)]]</f>
        <v>12.679874999999999</v>
      </c>
      <c r="F21">
        <f>Table1[[#This Row],[Vout]]*(Table1[[#This Row],[Imin]]+Table1[[#This Row],[Ripple Current (A)]])</f>
        <v>26.459999999999994</v>
      </c>
      <c r="G21" s="1">
        <f>Table1[[#This Row],[Pout]]/Frequency</f>
        <v>4.409999999999999E-3</v>
      </c>
      <c r="H21" s="1">
        <f>Table1[[#This Row],[Duty]]/Frequency</f>
        <v>1.2499999999999999E-5</v>
      </c>
      <c r="I21" s="1">
        <f>Table1[[#This Row],[Pout]]/Vin</f>
        <v>0.8999999999999998</v>
      </c>
      <c r="J21" s="1">
        <f>Vin*Table1[[#This Row],[Idc]]*Table1[[#This Row],[Time On]]</f>
        <v>3.3074999999999988E-4</v>
      </c>
      <c r="K21" s="1">
        <f>Table1[[#This Row],[Energy/Cycle]]-Table1[[#This Row],[Edc]]</f>
        <v>4.0792499999999995E-3</v>
      </c>
      <c r="L21" s="1">
        <f>2*Table1[[#This Row],[E Capacitor]]/(Vin^2-(Vin-V_ripple)^2)</f>
        <v>1.4115051903114197E-4</v>
      </c>
      <c r="M21" s="1">
        <f>Table1[[#This Row],[Energy/Cycle]]-(Table1[[#This Row],[E Capacitor]]+Table1[[#This Row],[Edc]])</f>
        <v>0</v>
      </c>
      <c r="N2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3.1588675580988475</v>
      </c>
    </row>
    <row r="22" spans="1:14" x14ac:dyDescent="0.25">
      <c r="A22">
        <v>0.08</v>
      </c>
      <c r="B22">
        <f t="shared" si="0"/>
        <v>2.3519999999999999</v>
      </c>
      <c r="C22">
        <f>(Vin-Table1[[#This Row],[Vout]])*Table1[[#This Row],[Duty]]/(Frequency*Inductance)</f>
        <v>0.72128000000000003</v>
      </c>
      <c r="D22">
        <f>Irms-Table1[[#This Row],[Ripple Current (A)]]</f>
        <v>11.27872</v>
      </c>
      <c r="E22">
        <f>Irms+Table1[[#This Row],[Ripple Current (A)]]</f>
        <v>12.72128</v>
      </c>
      <c r="F22">
        <f>Table1[[#This Row],[Vout]]*(Table1[[#This Row],[Imin]]+Table1[[#This Row],[Ripple Current (A)]])</f>
        <v>28.223999999999997</v>
      </c>
      <c r="G22" s="1">
        <f>Table1[[#This Row],[Pout]]/Frequency</f>
        <v>4.7039999999999998E-3</v>
      </c>
      <c r="H22" s="1">
        <f>Table1[[#This Row],[Duty]]/Frequency</f>
        <v>1.3333333333333333E-5</v>
      </c>
      <c r="I22" s="1">
        <f>Table1[[#This Row],[Pout]]/Vin</f>
        <v>0.96</v>
      </c>
      <c r="J22" s="1">
        <f>Vin*Table1[[#This Row],[Idc]]*Table1[[#This Row],[Time On]]</f>
        <v>3.7631999999999997E-4</v>
      </c>
      <c r="K22" s="1">
        <f>Table1[[#This Row],[Energy/Cycle]]-Table1[[#This Row],[Edc]]</f>
        <v>4.3276799999999995E-3</v>
      </c>
      <c r="L22" s="1">
        <f>2*Table1[[#This Row],[E Capacitor]]/(Vin^2-(Vin-V_ripple)^2)</f>
        <v>1.4974671280276828E-4</v>
      </c>
      <c r="M22" s="1">
        <f>Table1[[#This Row],[Energy/Cycle]]-(Table1[[#This Row],[E Capacitor]]+Table1[[#This Row],[Edc]])</f>
        <v>0</v>
      </c>
      <c r="N2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3.2533869742637953</v>
      </c>
    </row>
    <row r="23" spans="1:14" x14ac:dyDescent="0.25">
      <c r="A23">
        <v>8.5000000000000006E-2</v>
      </c>
      <c r="B23">
        <f t="shared" si="0"/>
        <v>2.4990000000000001</v>
      </c>
      <c r="C23">
        <f>(Vin-Table1[[#This Row],[Vout]])*Table1[[#This Row],[Duty]]/(Frequency*Inductance)</f>
        <v>0.76219500000000007</v>
      </c>
      <c r="D23">
        <f>Irms-Table1[[#This Row],[Ripple Current (A)]]</f>
        <v>11.237805</v>
      </c>
      <c r="E23">
        <f>Irms+Table1[[#This Row],[Ripple Current (A)]]</f>
        <v>12.762195</v>
      </c>
      <c r="F23">
        <f>Table1[[#This Row],[Vout]]*(Table1[[#This Row],[Imin]]+Table1[[#This Row],[Ripple Current (A)]])</f>
        <v>29.988</v>
      </c>
      <c r="G23" s="1">
        <f>Table1[[#This Row],[Pout]]/Frequency</f>
        <v>4.9979999999999998E-3</v>
      </c>
      <c r="H23" s="1">
        <f>Table1[[#This Row],[Duty]]/Frequency</f>
        <v>1.4166666666666668E-5</v>
      </c>
      <c r="I23" s="1">
        <f>Table1[[#This Row],[Pout]]/Vin</f>
        <v>1.02</v>
      </c>
      <c r="J23" s="1">
        <f>Vin*Table1[[#This Row],[Idc]]*Table1[[#This Row],[Time On]]</f>
        <v>4.2483000000000001E-4</v>
      </c>
      <c r="K23" s="1">
        <f>Table1[[#This Row],[Energy/Cycle]]-Table1[[#This Row],[Edc]]</f>
        <v>4.5731699999999997E-3</v>
      </c>
      <c r="L23" s="1">
        <f>2*Table1[[#This Row],[E Capacitor]]/(Vin^2-(Vin-V_ripple)^2)</f>
        <v>1.5824117647058835E-4</v>
      </c>
      <c r="M23" s="1">
        <f>Table1[[#This Row],[Energy/Cycle]]-(Table1[[#This Row],[E Capacitor]]+Table1[[#This Row],[Edc]])</f>
        <v>0</v>
      </c>
      <c r="N2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3.3441202129742025</v>
      </c>
    </row>
    <row r="24" spans="1:14" x14ac:dyDescent="0.25">
      <c r="A24">
        <v>0.09</v>
      </c>
      <c r="B24">
        <f t="shared" si="0"/>
        <v>2.6459999999999999</v>
      </c>
      <c r="C24">
        <f>(Vin-Table1[[#This Row],[Vout]])*Table1[[#This Row],[Duty]]/(Frequency*Inductance)</f>
        <v>0.80262</v>
      </c>
      <c r="D24">
        <f>Irms-Table1[[#This Row],[Ripple Current (A)]]</f>
        <v>11.197380000000001</v>
      </c>
      <c r="E24">
        <f>Irms+Table1[[#This Row],[Ripple Current (A)]]</f>
        <v>12.802619999999999</v>
      </c>
      <c r="F24">
        <f>Table1[[#This Row],[Vout]]*(Table1[[#This Row],[Imin]]+Table1[[#This Row],[Ripple Current (A)]])</f>
        <v>31.751999999999999</v>
      </c>
      <c r="G24" s="1">
        <f>Table1[[#This Row],[Pout]]/Frequency</f>
        <v>5.2919999999999998E-3</v>
      </c>
      <c r="H24" s="1">
        <f>Table1[[#This Row],[Duty]]/Frequency</f>
        <v>1.4999999999999999E-5</v>
      </c>
      <c r="I24" s="1">
        <f>Table1[[#This Row],[Pout]]/Vin</f>
        <v>1.08</v>
      </c>
      <c r="J24" s="1">
        <f>Vin*Table1[[#This Row],[Idc]]*Table1[[#This Row],[Time On]]</f>
        <v>4.7627999999999993E-4</v>
      </c>
      <c r="K24" s="1">
        <f>Table1[[#This Row],[Energy/Cycle]]-Table1[[#This Row],[Edc]]</f>
        <v>4.8157199999999999E-3</v>
      </c>
      <c r="L24" s="1">
        <f>2*Table1[[#This Row],[E Capacitor]]/(Vin^2-(Vin-V_ripple)^2)</f>
        <v>1.6663391003460222E-4</v>
      </c>
      <c r="M24" s="1">
        <f>Table1[[#This Row],[Energy/Cycle]]-(Table1[[#This Row],[E Capacitor]]+Table1[[#This Row],[Edc]])</f>
        <v>0</v>
      </c>
      <c r="N2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3.4313662051824201</v>
      </c>
    </row>
    <row r="25" spans="1:14" x14ac:dyDescent="0.25">
      <c r="A25">
        <v>9.5000000000000001E-2</v>
      </c>
      <c r="B25">
        <f t="shared" si="0"/>
        <v>2.7929999999999997</v>
      </c>
      <c r="C25">
        <f>(Vin-Table1[[#This Row],[Vout]])*Table1[[#This Row],[Duty]]/(Frequency*Inductance)</f>
        <v>0.84255499999999994</v>
      </c>
      <c r="D25">
        <f>Irms-Table1[[#This Row],[Ripple Current (A)]]</f>
        <v>11.157444999999999</v>
      </c>
      <c r="E25">
        <f>Irms+Table1[[#This Row],[Ripple Current (A)]]</f>
        <v>12.842555000000001</v>
      </c>
      <c r="F25">
        <f>Table1[[#This Row],[Vout]]*(Table1[[#This Row],[Imin]]+Table1[[#This Row],[Ripple Current (A)]])</f>
        <v>33.515999999999998</v>
      </c>
      <c r="G25" s="1">
        <f>Table1[[#This Row],[Pout]]/Frequency</f>
        <v>5.5859999999999998E-3</v>
      </c>
      <c r="H25" s="1">
        <f>Table1[[#This Row],[Duty]]/Frequency</f>
        <v>1.5833333333333333E-5</v>
      </c>
      <c r="I25" s="1">
        <f>Table1[[#This Row],[Pout]]/Vin</f>
        <v>1.1399999999999999</v>
      </c>
      <c r="J25" s="1">
        <f>Vin*Table1[[#This Row],[Idc]]*Table1[[#This Row],[Time On]]</f>
        <v>5.3067000000000001E-4</v>
      </c>
      <c r="K25" s="1">
        <f>Table1[[#This Row],[Energy/Cycle]]-Table1[[#This Row],[Edc]]</f>
        <v>5.0553300000000002E-3</v>
      </c>
      <c r="L25" s="1">
        <f>2*Table1[[#This Row],[E Capacitor]]/(Vin^2-(Vin-V_ripple)^2)</f>
        <v>1.7492491349480985E-4</v>
      </c>
      <c r="M25" s="1">
        <f>Table1[[#This Row],[Energy/Cycle]]-(Table1[[#This Row],[E Capacitor]]+Table1[[#This Row],[Edc]])</f>
        <v>0</v>
      </c>
      <c r="N2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3.5153833172613203</v>
      </c>
    </row>
    <row r="26" spans="1:14" x14ac:dyDescent="0.25">
      <c r="A26">
        <v>0.1</v>
      </c>
      <c r="B26">
        <f t="shared" si="0"/>
        <v>2.94</v>
      </c>
      <c r="C26">
        <f>(Vin-Table1[[#This Row],[Vout]])*Table1[[#This Row],[Duty]]/(Frequency*Inductance)</f>
        <v>0.88200000000000001</v>
      </c>
      <c r="D26">
        <f>Irms-Table1[[#This Row],[Ripple Current (A)]]</f>
        <v>11.118</v>
      </c>
      <c r="E26">
        <f>Irms+Table1[[#This Row],[Ripple Current (A)]]</f>
        <v>12.882</v>
      </c>
      <c r="F26">
        <f>Table1[[#This Row],[Vout]]*(Table1[[#This Row],[Imin]]+Table1[[#This Row],[Ripple Current (A)]])</f>
        <v>35.28</v>
      </c>
      <c r="G26" s="1">
        <f>Table1[[#This Row],[Pout]]/Frequency</f>
        <v>5.8799999999999998E-3</v>
      </c>
      <c r="H26" s="1">
        <f>Table1[[#This Row],[Duty]]/Frequency</f>
        <v>1.6666666666666667E-5</v>
      </c>
      <c r="I26" s="1">
        <f>Table1[[#This Row],[Pout]]/Vin</f>
        <v>1.2000000000000002</v>
      </c>
      <c r="J26" s="1">
        <f>Vin*Table1[[#This Row],[Idc]]*Table1[[#This Row],[Time On]]</f>
        <v>5.8800000000000009E-4</v>
      </c>
      <c r="K26" s="1">
        <f>Table1[[#This Row],[Energy/Cycle]]-Table1[[#This Row],[Edc]]</f>
        <v>5.2919999999999998E-3</v>
      </c>
      <c r="L26" s="1">
        <f>2*Table1[[#This Row],[E Capacitor]]/(Vin^2-(Vin-V_ripple)^2)</f>
        <v>1.8311418685121122E-4</v>
      </c>
      <c r="M26" s="1">
        <f>Table1[[#This Row],[Energy/Cycle]]-(Table1[[#This Row],[E Capacitor]]+Table1[[#This Row],[Edc]])</f>
        <v>0</v>
      </c>
      <c r="N2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3.5963966966951797</v>
      </c>
    </row>
    <row r="27" spans="1:14" x14ac:dyDescent="0.25">
      <c r="A27">
        <v>0.105</v>
      </c>
      <c r="B27">
        <f t="shared" si="0"/>
        <v>3.0869999999999997</v>
      </c>
      <c r="C27">
        <f>(Vin-Table1[[#This Row],[Vout]])*Table1[[#This Row],[Duty]]/(Frequency*Inductance)</f>
        <v>0.92095499999999986</v>
      </c>
      <c r="D27">
        <f>Irms-Table1[[#This Row],[Ripple Current (A)]]</f>
        <v>11.079045000000001</v>
      </c>
      <c r="E27">
        <f>Irms+Table1[[#This Row],[Ripple Current (A)]]</f>
        <v>12.920954999999999</v>
      </c>
      <c r="F27">
        <f>Table1[[#This Row],[Vout]]*(Table1[[#This Row],[Imin]]+Table1[[#This Row],[Ripple Current (A)]])</f>
        <v>37.043999999999997</v>
      </c>
      <c r="G27" s="1">
        <f>Table1[[#This Row],[Pout]]/Frequency</f>
        <v>6.1739999999999998E-3</v>
      </c>
      <c r="H27" s="1">
        <f>Table1[[#This Row],[Duty]]/Frequency</f>
        <v>1.7499999999999998E-5</v>
      </c>
      <c r="I27" s="1">
        <f>Table1[[#This Row],[Pout]]/Vin</f>
        <v>1.26</v>
      </c>
      <c r="J27" s="1">
        <f>Vin*Table1[[#This Row],[Idc]]*Table1[[#This Row],[Time On]]</f>
        <v>6.4826999999999984E-4</v>
      </c>
      <c r="K27" s="1">
        <f>Table1[[#This Row],[Energy/Cycle]]-Table1[[#This Row],[Edc]]</f>
        <v>5.5257299999999995E-3</v>
      </c>
      <c r="L27" s="1">
        <f>2*Table1[[#This Row],[E Capacitor]]/(Vin^2-(Vin-V_ripple)^2)</f>
        <v>1.9120173010380635E-4</v>
      </c>
      <c r="M27" s="1">
        <f>Table1[[#This Row],[Energy/Cycle]]-(Table1[[#This Row],[E Capacitor]]+Table1[[#This Row],[Edc]])</f>
        <v>0</v>
      </c>
      <c r="N2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3.6746039876535166</v>
      </c>
    </row>
    <row r="28" spans="1:14" x14ac:dyDescent="0.25">
      <c r="A28">
        <v>0.11</v>
      </c>
      <c r="B28">
        <f t="shared" si="0"/>
        <v>3.234</v>
      </c>
      <c r="C28">
        <f>(Vin-Table1[[#This Row],[Vout]])*Table1[[#This Row],[Duty]]/(Frequency*Inductance)</f>
        <v>0.95941999999999983</v>
      </c>
      <c r="D28">
        <f>Irms-Table1[[#This Row],[Ripple Current (A)]]</f>
        <v>11.04058</v>
      </c>
      <c r="E28">
        <f>Irms+Table1[[#This Row],[Ripple Current (A)]]</f>
        <v>12.95942</v>
      </c>
      <c r="F28">
        <f>Table1[[#This Row],[Vout]]*(Table1[[#This Row],[Imin]]+Table1[[#This Row],[Ripple Current (A)]])</f>
        <v>38.808</v>
      </c>
      <c r="G28" s="1">
        <f>Table1[[#This Row],[Pout]]/Frequency</f>
        <v>6.4679999999999998E-3</v>
      </c>
      <c r="H28" s="1">
        <f>Table1[[#This Row],[Duty]]/Frequency</f>
        <v>1.8333333333333333E-5</v>
      </c>
      <c r="I28" s="1">
        <f>Table1[[#This Row],[Pout]]/Vin</f>
        <v>1.32</v>
      </c>
      <c r="J28" s="1">
        <f>Vin*Table1[[#This Row],[Idc]]*Table1[[#This Row],[Time On]]</f>
        <v>7.1148000000000001E-4</v>
      </c>
      <c r="K28" s="1">
        <f>Table1[[#This Row],[Energy/Cycle]]-Table1[[#This Row],[Edc]]</f>
        <v>5.7565199999999993E-3</v>
      </c>
      <c r="L28" s="1">
        <f>2*Table1[[#This Row],[E Capacitor]]/(Vin^2-(Vin-V_ripple)^2)</f>
        <v>1.9918754325259528E-4</v>
      </c>
      <c r="M28" s="1">
        <f>Table1[[#This Row],[Energy/Cycle]]-(Table1[[#This Row],[E Capacitor]]+Table1[[#This Row],[Edc]])</f>
        <v>0</v>
      </c>
      <c r="N2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3.7501798383098022</v>
      </c>
    </row>
    <row r="29" spans="1:14" x14ac:dyDescent="0.25">
      <c r="A29">
        <v>0.115</v>
      </c>
      <c r="B29">
        <f t="shared" si="0"/>
        <v>3.3809999999999998</v>
      </c>
      <c r="C29">
        <f>(Vin-Table1[[#This Row],[Vout]])*Table1[[#This Row],[Duty]]/(Frequency*Inductance)</f>
        <v>0.99739500000000003</v>
      </c>
      <c r="D29">
        <f>Irms-Table1[[#This Row],[Ripple Current (A)]]</f>
        <v>11.002604999999999</v>
      </c>
      <c r="E29">
        <f>Irms+Table1[[#This Row],[Ripple Current (A)]]</f>
        <v>12.997395000000001</v>
      </c>
      <c r="F29">
        <f>Table1[[#This Row],[Vout]]*(Table1[[#This Row],[Imin]]+Table1[[#This Row],[Ripple Current (A)]])</f>
        <v>40.571999999999996</v>
      </c>
      <c r="G29" s="1">
        <f>Table1[[#This Row],[Pout]]/Frequency</f>
        <v>6.7619999999999989E-3</v>
      </c>
      <c r="H29" s="1">
        <f>Table1[[#This Row],[Duty]]/Frequency</f>
        <v>1.9166666666666667E-5</v>
      </c>
      <c r="I29" s="1">
        <f>Table1[[#This Row],[Pout]]/Vin</f>
        <v>1.38</v>
      </c>
      <c r="J29" s="1">
        <f>Vin*Table1[[#This Row],[Idc]]*Table1[[#This Row],[Time On]]</f>
        <v>7.7762999999999997E-4</v>
      </c>
      <c r="K29" s="1">
        <f>Table1[[#This Row],[Energy/Cycle]]-Table1[[#This Row],[Edc]]</f>
        <v>5.9843699999999993E-3</v>
      </c>
      <c r="L29" s="1">
        <f>2*Table1[[#This Row],[E Capacitor]]/(Vin^2-(Vin-V_ripple)^2)</f>
        <v>2.07071626297578E-4</v>
      </c>
      <c r="M29" s="1">
        <f>Table1[[#This Row],[Energy/Cycle]]-(Table1[[#This Row],[E Capacitor]]+Table1[[#This Row],[Edc]])</f>
        <v>0</v>
      </c>
      <c r="N2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3.8232794984414071</v>
      </c>
    </row>
    <row r="30" spans="1:14" x14ac:dyDescent="0.25">
      <c r="A30">
        <v>0.12</v>
      </c>
      <c r="B30">
        <f t="shared" si="0"/>
        <v>3.5279999999999996</v>
      </c>
      <c r="C30">
        <f>(Vin-Table1[[#This Row],[Vout]])*Table1[[#This Row],[Duty]]/(Frequency*Inductance)</f>
        <v>1.03488</v>
      </c>
      <c r="D30">
        <f>Irms-Table1[[#This Row],[Ripple Current (A)]]</f>
        <v>10.965120000000001</v>
      </c>
      <c r="E30">
        <f>Irms+Table1[[#This Row],[Ripple Current (A)]]</f>
        <v>13.034879999999999</v>
      </c>
      <c r="F30">
        <f>Table1[[#This Row],[Vout]]*(Table1[[#This Row],[Imin]]+Table1[[#This Row],[Ripple Current (A)]])</f>
        <v>42.335999999999999</v>
      </c>
      <c r="G30" s="1">
        <f>Table1[[#This Row],[Pout]]/Frequency</f>
        <v>7.0559999999999998E-3</v>
      </c>
      <c r="H30" s="1">
        <f>Table1[[#This Row],[Duty]]/Frequency</f>
        <v>1.9999999999999998E-5</v>
      </c>
      <c r="I30" s="1">
        <f>Table1[[#This Row],[Pout]]/Vin</f>
        <v>1.44</v>
      </c>
      <c r="J30" s="1">
        <f>Vin*Table1[[#This Row],[Idc]]*Table1[[#This Row],[Time On]]</f>
        <v>8.4671999999999992E-4</v>
      </c>
      <c r="K30" s="1">
        <f>Table1[[#This Row],[Energy/Cycle]]-Table1[[#This Row],[Edc]]</f>
        <v>6.2092800000000002E-3</v>
      </c>
      <c r="L30" s="1">
        <f>2*Table1[[#This Row],[E Capacitor]]/(Vin^2-(Vin-V_ripple)^2)</f>
        <v>2.1485397923875449E-4</v>
      </c>
      <c r="M30" s="1">
        <f>Table1[[#This Row],[Energy/Cycle]]-(Table1[[#This Row],[E Capacitor]]+Table1[[#This Row],[Edc]])</f>
        <v>0</v>
      </c>
      <c r="N3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3.8940417223527541</v>
      </c>
    </row>
    <row r="31" spans="1:14" x14ac:dyDescent="0.25">
      <c r="A31">
        <v>0.125</v>
      </c>
      <c r="B31">
        <f t="shared" si="0"/>
        <v>3.6749999999999998</v>
      </c>
      <c r="C31">
        <f>(Vin-Table1[[#This Row],[Vout]])*Table1[[#This Row],[Duty]]/(Frequency*Inductance)</f>
        <v>1.0718749999999999</v>
      </c>
      <c r="D31">
        <f>Irms-Table1[[#This Row],[Ripple Current (A)]]</f>
        <v>10.928125</v>
      </c>
      <c r="E31">
        <f>Irms+Table1[[#This Row],[Ripple Current (A)]]</f>
        <v>13.071875</v>
      </c>
      <c r="F31">
        <f>Table1[[#This Row],[Vout]]*(Table1[[#This Row],[Imin]]+Table1[[#This Row],[Ripple Current (A)]])</f>
        <v>44.099999999999994</v>
      </c>
      <c r="G31" s="1">
        <f>Table1[[#This Row],[Pout]]/Frequency</f>
        <v>7.3499999999999989E-3</v>
      </c>
      <c r="H31" s="1">
        <f>Table1[[#This Row],[Duty]]/Frequency</f>
        <v>2.0833333333333333E-5</v>
      </c>
      <c r="I31" s="1">
        <f>Table1[[#This Row],[Pout]]/Vin</f>
        <v>1.4999999999999998</v>
      </c>
      <c r="J31" s="1">
        <f>Vin*Table1[[#This Row],[Idc]]*Table1[[#This Row],[Time On]]</f>
        <v>9.1874999999999986E-4</v>
      </c>
      <c r="K31" s="1">
        <f>Table1[[#This Row],[Energy/Cycle]]-Table1[[#This Row],[Edc]]</f>
        <v>6.4312499999999995E-3</v>
      </c>
      <c r="L31" s="1">
        <f>2*Table1[[#This Row],[E Capacitor]]/(Vin^2-(Vin-V_ripple)^2)</f>
        <v>2.2253460207612472E-4</v>
      </c>
      <c r="M31" s="1">
        <f>Table1[[#This Row],[Energy/Cycle]]-(Table1[[#This Row],[E Capacitor]]+Table1[[#This Row],[Edc]])</f>
        <v>0</v>
      </c>
      <c r="N3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3.9625911345165243</v>
      </c>
    </row>
    <row r="32" spans="1:14" x14ac:dyDescent="0.25">
      <c r="A32">
        <v>0.13</v>
      </c>
      <c r="B32">
        <f t="shared" si="0"/>
        <v>3.8220000000000001</v>
      </c>
      <c r="C32">
        <f>(Vin-Table1[[#This Row],[Vout]])*Table1[[#This Row],[Duty]]/(Frequency*Inductance)</f>
        <v>1.1083800000000001</v>
      </c>
      <c r="D32">
        <f>Irms-Table1[[#This Row],[Ripple Current (A)]]</f>
        <v>10.89162</v>
      </c>
      <c r="E32">
        <f>Irms+Table1[[#This Row],[Ripple Current (A)]]</f>
        <v>13.10838</v>
      </c>
      <c r="F32">
        <f>Table1[[#This Row],[Vout]]*(Table1[[#This Row],[Imin]]+Table1[[#This Row],[Ripple Current (A)]])</f>
        <v>45.864000000000004</v>
      </c>
      <c r="G32" s="1">
        <f>Table1[[#This Row],[Pout]]/Frequency</f>
        <v>7.6440000000000006E-3</v>
      </c>
      <c r="H32" s="1">
        <f>Table1[[#This Row],[Duty]]/Frequency</f>
        <v>2.1666666666666667E-5</v>
      </c>
      <c r="I32" s="1">
        <f>Table1[[#This Row],[Pout]]/Vin</f>
        <v>1.5600000000000003</v>
      </c>
      <c r="J32" s="1">
        <f>Vin*Table1[[#This Row],[Idc]]*Table1[[#This Row],[Time On]]</f>
        <v>9.9372000000000002E-4</v>
      </c>
      <c r="K32" s="1">
        <f>Table1[[#This Row],[Energy/Cycle]]-Table1[[#This Row],[Edc]]</f>
        <v>6.6502800000000006E-3</v>
      </c>
      <c r="L32" s="1">
        <f>2*Table1[[#This Row],[E Capacitor]]/(Vin^2-(Vin-V_ripple)^2)</f>
        <v>2.3011349480968877E-4</v>
      </c>
      <c r="M32" s="1">
        <f>Table1[[#This Row],[Energy/Cycle]]-(Table1[[#This Row],[E Capacitor]]+Table1[[#This Row],[Edc]])</f>
        <v>0</v>
      </c>
      <c r="N3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4.0290401748153366</v>
      </c>
    </row>
    <row r="33" spans="1:14" x14ac:dyDescent="0.25">
      <c r="A33">
        <v>0.13500000000000001</v>
      </c>
      <c r="B33">
        <f t="shared" si="0"/>
        <v>3.9689999999999999</v>
      </c>
      <c r="C33">
        <f>(Vin-Table1[[#This Row],[Vout]])*Table1[[#This Row],[Duty]]/(Frequency*Inductance)</f>
        <v>1.1443950000000001</v>
      </c>
      <c r="D33">
        <f>Irms-Table1[[#This Row],[Ripple Current (A)]]</f>
        <v>10.855605000000001</v>
      </c>
      <c r="E33">
        <f>Irms+Table1[[#This Row],[Ripple Current (A)]]</f>
        <v>13.144394999999999</v>
      </c>
      <c r="F33">
        <f>Table1[[#This Row],[Vout]]*(Table1[[#This Row],[Imin]]+Table1[[#This Row],[Ripple Current (A)]])</f>
        <v>47.628</v>
      </c>
      <c r="G33" s="1">
        <f>Table1[[#This Row],[Pout]]/Frequency</f>
        <v>7.9380000000000006E-3</v>
      </c>
      <c r="H33" s="1">
        <f>Table1[[#This Row],[Duty]]/Frequency</f>
        <v>2.2500000000000001E-5</v>
      </c>
      <c r="I33" s="1">
        <f>Table1[[#This Row],[Pout]]/Vin</f>
        <v>1.62</v>
      </c>
      <c r="J33" s="1">
        <f>Vin*Table1[[#This Row],[Idc]]*Table1[[#This Row],[Time On]]</f>
        <v>1.0716300000000001E-3</v>
      </c>
      <c r="K33" s="1">
        <f>Table1[[#This Row],[Energy/Cycle]]-Table1[[#This Row],[Edc]]</f>
        <v>6.8663700000000001E-3</v>
      </c>
      <c r="L33" s="1">
        <f>2*Table1[[#This Row],[E Capacitor]]/(Vin^2-(Vin-V_ripple)^2)</f>
        <v>2.3759065743944656E-4</v>
      </c>
      <c r="M33" s="1">
        <f>Table1[[#This Row],[Energy/Cycle]]-(Table1[[#This Row],[E Capacitor]]+Table1[[#This Row],[Edc]])</f>
        <v>0</v>
      </c>
      <c r="N3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4.0934907113341392</v>
      </c>
    </row>
    <row r="34" spans="1:14" x14ac:dyDescent="0.25">
      <c r="A34">
        <v>0.14000000000000001</v>
      </c>
      <c r="B34">
        <f t="shared" si="0"/>
        <v>4.1160000000000005</v>
      </c>
      <c r="C34">
        <f>(Vin-Table1[[#This Row],[Vout]])*Table1[[#This Row],[Duty]]/(Frequency*Inductance)</f>
        <v>1.1799200000000001</v>
      </c>
      <c r="D34">
        <f>Irms-Table1[[#This Row],[Ripple Current (A)]]</f>
        <v>10.820080000000001</v>
      </c>
      <c r="E34">
        <f>Irms+Table1[[#This Row],[Ripple Current (A)]]</f>
        <v>13.179919999999999</v>
      </c>
      <c r="F34">
        <f>Table1[[#This Row],[Vout]]*(Table1[[#This Row],[Imin]]+Table1[[#This Row],[Ripple Current (A)]])</f>
        <v>49.39200000000001</v>
      </c>
      <c r="G34" s="1">
        <f>Table1[[#This Row],[Pout]]/Frequency</f>
        <v>8.2320000000000015E-3</v>
      </c>
      <c r="H34" s="1">
        <f>Table1[[#This Row],[Duty]]/Frequency</f>
        <v>2.3333333333333336E-5</v>
      </c>
      <c r="I34" s="1">
        <f>Table1[[#This Row],[Pout]]/Vin</f>
        <v>1.6800000000000004</v>
      </c>
      <c r="J34" s="1">
        <f>Vin*Table1[[#This Row],[Idc]]*Table1[[#This Row],[Time On]]</f>
        <v>1.1524800000000004E-3</v>
      </c>
      <c r="K34" s="1">
        <f>Table1[[#This Row],[Energy/Cycle]]-Table1[[#This Row],[Edc]]</f>
        <v>7.0795200000000006E-3</v>
      </c>
      <c r="L34" s="1">
        <f>2*Table1[[#This Row],[E Capacitor]]/(Vin^2-(Vin-V_ripple)^2)</f>
        <v>2.4496608996539814E-4</v>
      </c>
      <c r="M34" s="1">
        <f>Table1[[#This Row],[Energy/Cycle]]-(Table1[[#This Row],[E Capacitor]]+Table1[[#This Row],[Edc]])</f>
        <v>0</v>
      </c>
      <c r="N3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4.1560353876863623</v>
      </c>
    </row>
    <row r="35" spans="1:14" x14ac:dyDescent="0.25">
      <c r="A35">
        <v>0.14499999999999999</v>
      </c>
      <c r="B35">
        <f t="shared" si="0"/>
        <v>4.2629999999999999</v>
      </c>
      <c r="C35">
        <f>(Vin-Table1[[#This Row],[Vout]])*Table1[[#This Row],[Duty]]/(Frequency*Inductance)</f>
        <v>1.214955</v>
      </c>
      <c r="D35">
        <f>Irms-Table1[[#This Row],[Ripple Current (A)]]</f>
        <v>10.785045</v>
      </c>
      <c r="E35">
        <f>Irms+Table1[[#This Row],[Ripple Current (A)]]</f>
        <v>13.214955</v>
      </c>
      <c r="F35">
        <f>Table1[[#This Row],[Vout]]*(Table1[[#This Row],[Imin]]+Table1[[#This Row],[Ripple Current (A)]])</f>
        <v>51.155999999999999</v>
      </c>
      <c r="G35" s="1">
        <f>Table1[[#This Row],[Pout]]/Frequency</f>
        <v>8.5260000000000006E-3</v>
      </c>
      <c r="H35" s="1">
        <f>Table1[[#This Row],[Duty]]/Frequency</f>
        <v>2.4166666666666663E-5</v>
      </c>
      <c r="I35" s="1">
        <f>Table1[[#This Row],[Pout]]/Vin</f>
        <v>1.74</v>
      </c>
      <c r="J35" s="1">
        <f>Vin*Table1[[#This Row],[Idc]]*Table1[[#This Row],[Time On]]</f>
        <v>1.2362699999999998E-3</v>
      </c>
      <c r="K35" s="1">
        <f>Table1[[#This Row],[Energy/Cycle]]-Table1[[#This Row],[Edc]]</f>
        <v>7.2897300000000012E-3</v>
      </c>
      <c r="L35" s="1">
        <f>2*Table1[[#This Row],[E Capacitor]]/(Vin^2-(Vin-V_ripple)^2)</f>
        <v>2.5223979238754351E-4</v>
      </c>
      <c r="M35" s="1">
        <f>Table1[[#This Row],[Energy/Cycle]]-(Table1[[#This Row],[E Capacitor]]+Table1[[#This Row],[Edc]])</f>
        <v>0</v>
      </c>
      <c r="N3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4.2167587564564473</v>
      </c>
    </row>
    <row r="36" spans="1:14" x14ac:dyDescent="0.25">
      <c r="A36">
        <v>0.15</v>
      </c>
      <c r="B36">
        <f t="shared" si="0"/>
        <v>4.4099999999999993</v>
      </c>
      <c r="C36">
        <f>(Vin-Table1[[#This Row],[Vout]])*Table1[[#This Row],[Duty]]/(Frequency*Inductance)</f>
        <v>1.2494999999999998</v>
      </c>
      <c r="D36">
        <f>Irms-Table1[[#This Row],[Ripple Current (A)]]</f>
        <v>10.750500000000001</v>
      </c>
      <c r="E36">
        <f>Irms+Table1[[#This Row],[Ripple Current (A)]]</f>
        <v>13.249499999999999</v>
      </c>
      <c r="F36">
        <f>Table1[[#This Row],[Vout]]*(Table1[[#This Row],[Imin]]+Table1[[#This Row],[Ripple Current (A)]])</f>
        <v>52.919999999999987</v>
      </c>
      <c r="G36" s="1">
        <f>Table1[[#This Row],[Pout]]/Frequency</f>
        <v>8.819999999999998E-3</v>
      </c>
      <c r="H36" s="1">
        <f>Table1[[#This Row],[Duty]]/Frequency</f>
        <v>2.4999999999999998E-5</v>
      </c>
      <c r="I36" s="1">
        <f>Table1[[#This Row],[Pout]]/Vin</f>
        <v>1.7999999999999996</v>
      </c>
      <c r="J36" s="1">
        <f>Vin*Table1[[#This Row],[Idc]]*Table1[[#This Row],[Time On]]</f>
        <v>1.3229999999999995E-3</v>
      </c>
      <c r="K36" s="1">
        <f>Table1[[#This Row],[Energy/Cycle]]-Table1[[#This Row],[Edc]]</f>
        <v>7.4969999999999985E-3</v>
      </c>
      <c r="L36" s="1">
        <f>2*Table1[[#This Row],[E Capacitor]]/(Vin^2-(Vin-V_ripple)^2)</f>
        <v>2.5941176470588252E-4</v>
      </c>
      <c r="M36" s="1">
        <f>Table1[[#This Row],[Energy/Cycle]]-(Table1[[#This Row],[E Capacitor]]+Table1[[#This Row],[Edc]])</f>
        <v>0</v>
      </c>
      <c r="N3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4.2757382388892804</v>
      </c>
    </row>
    <row r="37" spans="1:14" x14ac:dyDescent="0.25">
      <c r="A37">
        <v>0.155</v>
      </c>
      <c r="B37">
        <f t="shared" si="0"/>
        <v>4.5569999999999995</v>
      </c>
      <c r="C37">
        <f>(Vin-Table1[[#This Row],[Vout]])*Table1[[#This Row],[Duty]]/(Frequency*Inductance)</f>
        <v>1.283555</v>
      </c>
      <c r="D37">
        <f>Irms-Table1[[#This Row],[Ripple Current (A)]]</f>
        <v>10.716445</v>
      </c>
      <c r="E37">
        <f>Irms+Table1[[#This Row],[Ripple Current (A)]]</f>
        <v>13.283555</v>
      </c>
      <c r="F37">
        <f>Table1[[#This Row],[Vout]]*(Table1[[#This Row],[Imin]]+Table1[[#This Row],[Ripple Current (A)]])</f>
        <v>54.683999999999997</v>
      </c>
      <c r="G37" s="1">
        <f>Table1[[#This Row],[Pout]]/Frequency</f>
        <v>9.1139999999999988E-3</v>
      </c>
      <c r="H37" s="1">
        <f>Table1[[#This Row],[Duty]]/Frequency</f>
        <v>2.5833333333333332E-5</v>
      </c>
      <c r="I37" s="1">
        <f>Table1[[#This Row],[Pout]]/Vin</f>
        <v>1.86</v>
      </c>
      <c r="J37" s="1">
        <f>Vin*Table1[[#This Row],[Idc]]*Table1[[#This Row],[Time On]]</f>
        <v>1.4126699999999998E-3</v>
      </c>
      <c r="K37" s="1">
        <f>Table1[[#This Row],[Energy/Cycle]]-Table1[[#This Row],[Edc]]</f>
        <v>7.7013299999999993E-3</v>
      </c>
      <c r="L37" s="1">
        <f>2*Table1[[#This Row],[E Capacitor]]/(Vin^2-(Vin-V_ripple)^2)</f>
        <v>2.6648200692041543E-4</v>
      </c>
      <c r="M37" s="1">
        <f>Table1[[#This Row],[Energy/Cycle]]-(Table1[[#This Row],[E Capacitor]]+Table1[[#This Row],[Edc]])</f>
        <v>0</v>
      </c>
      <c r="N3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4.3330449423435144</v>
      </c>
    </row>
    <row r="38" spans="1:14" x14ac:dyDescent="0.25">
      <c r="A38">
        <v>0.16</v>
      </c>
      <c r="B38">
        <f t="shared" si="0"/>
        <v>4.7039999999999997</v>
      </c>
      <c r="C38">
        <f>(Vin-Table1[[#This Row],[Vout]])*Table1[[#This Row],[Duty]]/(Frequency*Inductance)</f>
        <v>1.3171199999999998</v>
      </c>
      <c r="D38">
        <f>Irms-Table1[[#This Row],[Ripple Current (A)]]</f>
        <v>10.682880000000001</v>
      </c>
      <c r="E38">
        <f>Irms+Table1[[#This Row],[Ripple Current (A)]]</f>
        <v>13.317119999999999</v>
      </c>
      <c r="F38">
        <f>Table1[[#This Row],[Vout]]*(Table1[[#This Row],[Imin]]+Table1[[#This Row],[Ripple Current (A)]])</f>
        <v>56.447999999999993</v>
      </c>
      <c r="G38" s="1">
        <f>Table1[[#This Row],[Pout]]/Frequency</f>
        <v>9.4079999999999997E-3</v>
      </c>
      <c r="H38" s="1">
        <f>Table1[[#This Row],[Duty]]/Frequency</f>
        <v>2.6666666666666667E-5</v>
      </c>
      <c r="I38" s="1">
        <f>Table1[[#This Row],[Pout]]/Vin</f>
        <v>1.92</v>
      </c>
      <c r="J38" s="1">
        <f>Vin*Table1[[#This Row],[Idc]]*Table1[[#This Row],[Time On]]</f>
        <v>1.5052799999999999E-3</v>
      </c>
      <c r="K38" s="1">
        <f>Table1[[#This Row],[Energy/Cycle]]-Table1[[#This Row],[Edc]]</f>
        <v>7.9027200000000002E-3</v>
      </c>
      <c r="L38" s="1">
        <f>2*Table1[[#This Row],[E Capacitor]]/(Vin^2-(Vin-V_ripple)^2)</f>
        <v>2.7345051903114207E-4</v>
      </c>
      <c r="M38" s="1">
        <f>Table1[[#This Row],[Energy/Cycle]]-(Table1[[#This Row],[E Capacitor]]+Table1[[#This Row],[Edc]])</f>
        <v>0</v>
      </c>
      <c r="N3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4.388744360478519</v>
      </c>
    </row>
    <row r="39" spans="1:14" x14ac:dyDescent="0.25">
      <c r="A39">
        <v>0.16500000000000001</v>
      </c>
      <c r="B39">
        <f t="shared" ref="B39:B70" si="1">A39*Vin</f>
        <v>4.851</v>
      </c>
      <c r="C39">
        <f>(Vin-Table1[[#This Row],[Vout]])*Table1[[#This Row],[Duty]]/(Frequency*Inductance)</f>
        <v>1.350195</v>
      </c>
      <c r="D39">
        <f>Irms-Table1[[#This Row],[Ripple Current (A)]]</f>
        <v>10.649805000000001</v>
      </c>
      <c r="E39">
        <f>Irms+Table1[[#This Row],[Ripple Current (A)]]</f>
        <v>13.350194999999999</v>
      </c>
      <c r="F39">
        <f>Table1[[#This Row],[Vout]]*(Table1[[#This Row],[Imin]]+Table1[[#This Row],[Ripple Current (A)]])</f>
        <v>58.212000000000003</v>
      </c>
      <c r="G39" s="1">
        <f>Table1[[#This Row],[Pout]]/Frequency</f>
        <v>9.7020000000000006E-3</v>
      </c>
      <c r="H39" s="1">
        <f>Table1[[#This Row],[Duty]]/Frequency</f>
        <v>2.7500000000000001E-5</v>
      </c>
      <c r="I39" s="1">
        <f>Table1[[#This Row],[Pout]]/Vin</f>
        <v>1.9800000000000002</v>
      </c>
      <c r="J39" s="1">
        <f>Vin*Table1[[#This Row],[Idc]]*Table1[[#This Row],[Time On]]</f>
        <v>1.6008300000000001E-3</v>
      </c>
      <c r="K39" s="1">
        <f>Table1[[#This Row],[Energy/Cycle]]-Table1[[#This Row],[Edc]]</f>
        <v>8.1011700000000013E-3</v>
      </c>
      <c r="L39" s="1">
        <f>2*Table1[[#This Row],[E Capacitor]]/(Vin^2-(Vin-V_ripple)^2)</f>
        <v>2.8031730103806257E-4</v>
      </c>
      <c r="M39" s="1">
        <f>Table1[[#This Row],[Energy/Cycle]]-(Table1[[#This Row],[E Capacitor]]+Table1[[#This Row],[Edc]])</f>
        <v>0</v>
      </c>
      <c r="N3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4.442896976119143</v>
      </c>
    </row>
    <row r="40" spans="1:14" x14ac:dyDescent="0.25">
      <c r="A40">
        <v>0.17</v>
      </c>
      <c r="B40">
        <f t="shared" si="1"/>
        <v>4.9980000000000002</v>
      </c>
      <c r="C40">
        <f>(Vin-Table1[[#This Row],[Vout]])*Table1[[#This Row],[Duty]]/(Frequency*Inductance)</f>
        <v>1.3827800000000001</v>
      </c>
      <c r="D40">
        <f>Irms-Table1[[#This Row],[Ripple Current (A)]]</f>
        <v>10.61722</v>
      </c>
      <c r="E40">
        <f>Irms+Table1[[#This Row],[Ripple Current (A)]]</f>
        <v>13.38278</v>
      </c>
      <c r="F40">
        <f>Table1[[#This Row],[Vout]]*(Table1[[#This Row],[Imin]]+Table1[[#This Row],[Ripple Current (A)]])</f>
        <v>59.975999999999999</v>
      </c>
      <c r="G40" s="1">
        <f>Table1[[#This Row],[Pout]]/Frequency</f>
        <v>9.9959999999999997E-3</v>
      </c>
      <c r="H40" s="1">
        <f>Table1[[#This Row],[Duty]]/Frequency</f>
        <v>2.8333333333333335E-5</v>
      </c>
      <c r="I40" s="1">
        <f>Table1[[#This Row],[Pout]]/Vin</f>
        <v>2.04</v>
      </c>
      <c r="J40" s="1">
        <f>Vin*Table1[[#This Row],[Idc]]*Table1[[#This Row],[Time On]]</f>
        <v>1.69932E-3</v>
      </c>
      <c r="K40" s="1">
        <f>Table1[[#This Row],[Energy/Cycle]]-Table1[[#This Row],[Edc]]</f>
        <v>8.296679999999999E-3</v>
      </c>
      <c r="L40" s="1">
        <f>2*Table1[[#This Row],[E Capacitor]]/(Vin^2-(Vin-V_ripple)^2)</f>
        <v>2.8708235294117664E-4</v>
      </c>
      <c r="M40" s="1">
        <f>Table1[[#This Row],[Energy/Cycle]]-(Table1[[#This Row],[E Capacitor]]+Table1[[#This Row],[Edc]])</f>
        <v>0</v>
      </c>
      <c r="N4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4.495558782849729</v>
      </c>
    </row>
    <row r="41" spans="1:14" x14ac:dyDescent="0.25">
      <c r="A41">
        <v>0.17499999999999999</v>
      </c>
      <c r="B41">
        <f t="shared" si="1"/>
        <v>5.1449999999999996</v>
      </c>
      <c r="C41">
        <f>(Vin-Table1[[#This Row],[Vout]])*Table1[[#This Row],[Duty]]/(Frequency*Inductance)</f>
        <v>1.4148749999999997</v>
      </c>
      <c r="D41">
        <f>Irms-Table1[[#This Row],[Ripple Current (A)]]</f>
        <v>10.585125</v>
      </c>
      <c r="E41">
        <f>Irms+Table1[[#This Row],[Ripple Current (A)]]</f>
        <v>13.414875</v>
      </c>
      <c r="F41">
        <f>Table1[[#This Row],[Vout]]*(Table1[[#This Row],[Imin]]+Table1[[#This Row],[Ripple Current (A)]])</f>
        <v>61.739999999999995</v>
      </c>
      <c r="G41" s="1">
        <f>Table1[[#This Row],[Pout]]/Frequency</f>
        <v>1.0289999999999999E-2</v>
      </c>
      <c r="H41" s="1">
        <f>Table1[[#This Row],[Duty]]/Frequency</f>
        <v>2.9166666666666666E-5</v>
      </c>
      <c r="I41" s="1">
        <f>Table1[[#This Row],[Pout]]/Vin</f>
        <v>2.1</v>
      </c>
      <c r="J41" s="1">
        <f>Vin*Table1[[#This Row],[Idc]]*Table1[[#This Row],[Time On]]</f>
        <v>1.8007500000000001E-3</v>
      </c>
      <c r="K41" s="1">
        <f>Table1[[#This Row],[Energy/Cycle]]-Table1[[#This Row],[Edc]]</f>
        <v>8.4892499999999985E-3</v>
      </c>
      <c r="L41" s="1">
        <f>2*Table1[[#This Row],[E Capacitor]]/(Vin^2-(Vin-V_ripple)^2)</f>
        <v>2.9374567474048461E-4</v>
      </c>
      <c r="M41" s="1">
        <f>Table1[[#This Row],[Energy/Cycle]]-(Table1[[#This Row],[E Capacitor]]+Table1[[#This Row],[Edc]])</f>
        <v>0</v>
      </c>
      <c r="N4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4.5467817383476712</v>
      </c>
    </row>
    <row r="42" spans="1:14" x14ac:dyDescent="0.25">
      <c r="A42">
        <v>0.18</v>
      </c>
      <c r="B42">
        <f t="shared" si="1"/>
        <v>5.2919999999999998</v>
      </c>
      <c r="C42">
        <f>(Vin-Table1[[#This Row],[Vout]])*Table1[[#This Row],[Duty]]/(Frequency*Inductance)</f>
        <v>1.4464799999999995</v>
      </c>
      <c r="D42">
        <f>Irms-Table1[[#This Row],[Ripple Current (A)]]</f>
        <v>10.553520000000001</v>
      </c>
      <c r="E42">
        <f>Irms+Table1[[#This Row],[Ripple Current (A)]]</f>
        <v>13.446479999999999</v>
      </c>
      <c r="F42">
        <f>Table1[[#This Row],[Vout]]*(Table1[[#This Row],[Imin]]+Table1[[#This Row],[Ripple Current (A)]])</f>
        <v>63.503999999999998</v>
      </c>
      <c r="G42" s="1">
        <f>Table1[[#This Row],[Pout]]/Frequency</f>
        <v>1.0584E-2</v>
      </c>
      <c r="H42" s="1">
        <f>Table1[[#This Row],[Duty]]/Frequency</f>
        <v>2.9999999999999997E-5</v>
      </c>
      <c r="I42" s="1">
        <f>Table1[[#This Row],[Pout]]/Vin</f>
        <v>2.16</v>
      </c>
      <c r="J42" s="1">
        <f>Vin*Table1[[#This Row],[Idc]]*Table1[[#This Row],[Time On]]</f>
        <v>1.9051199999999997E-3</v>
      </c>
      <c r="K42" s="1">
        <f>Table1[[#This Row],[Energy/Cycle]]-Table1[[#This Row],[Edc]]</f>
        <v>8.6788799999999999E-3</v>
      </c>
      <c r="L42" s="1">
        <f>2*Table1[[#This Row],[E Capacitor]]/(Vin^2-(Vin-V_ripple)^2)</f>
        <v>3.0030726643598637E-4</v>
      </c>
      <c r="M42" s="1">
        <f>Table1[[#This Row],[Energy/Cycle]]-(Table1[[#This Row],[E Capacitor]]+Table1[[#This Row],[Edc]])</f>
        <v>0</v>
      </c>
      <c r="N4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4.5966141600721722</v>
      </c>
    </row>
    <row r="43" spans="1:14" x14ac:dyDescent="0.25">
      <c r="A43">
        <v>0.185</v>
      </c>
      <c r="B43">
        <f t="shared" si="1"/>
        <v>5.4390000000000001</v>
      </c>
      <c r="C43">
        <f>(Vin-Table1[[#This Row],[Vout]])*Table1[[#This Row],[Duty]]/(Frequency*Inductance)</f>
        <v>1.477595</v>
      </c>
      <c r="D43">
        <f>Irms-Table1[[#This Row],[Ripple Current (A)]]</f>
        <v>10.522404999999999</v>
      </c>
      <c r="E43">
        <f>Irms+Table1[[#This Row],[Ripple Current (A)]]</f>
        <v>13.477595000000001</v>
      </c>
      <c r="F43">
        <f>Table1[[#This Row],[Vout]]*(Table1[[#This Row],[Imin]]+Table1[[#This Row],[Ripple Current (A)]])</f>
        <v>65.268000000000001</v>
      </c>
      <c r="G43" s="1">
        <f>Table1[[#This Row],[Pout]]/Frequency</f>
        <v>1.0878000000000001E-2</v>
      </c>
      <c r="H43" s="1">
        <f>Table1[[#This Row],[Duty]]/Frequency</f>
        <v>3.0833333333333335E-5</v>
      </c>
      <c r="I43" s="1">
        <f>Table1[[#This Row],[Pout]]/Vin</f>
        <v>2.2200000000000002</v>
      </c>
      <c r="J43" s="1">
        <f>Vin*Table1[[#This Row],[Idc]]*Table1[[#This Row],[Time On]]</f>
        <v>2.0124299999999999E-3</v>
      </c>
      <c r="K43" s="1">
        <f>Table1[[#This Row],[Energy/Cycle]]-Table1[[#This Row],[Edc]]</f>
        <v>8.8655699999999997E-3</v>
      </c>
      <c r="L43" s="1">
        <f>2*Table1[[#This Row],[E Capacitor]]/(Vin^2-(Vin-V_ripple)^2)</f>
        <v>3.0676712802768188E-4</v>
      </c>
      <c r="M43" s="1">
        <f>Table1[[#This Row],[Energy/Cycle]]-(Table1[[#This Row],[E Capacitor]]+Table1[[#This Row],[Edc]])</f>
        <v>0</v>
      </c>
      <c r="N4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4.6451010720239934</v>
      </c>
    </row>
    <row r="44" spans="1:14" x14ac:dyDescent="0.25">
      <c r="A44">
        <v>0.19</v>
      </c>
      <c r="B44">
        <f t="shared" si="1"/>
        <v>5.5859999999999994</v>
      </c>
      <c r="C44">
        <f>(Vin-Table1[[#This Row],[Vout]])*Table1[[#This Row],[Duty]]/(Frequency*Inductance)</f>
        <v>1.5082199999999999</v>
      </c>
      <c r="D44">
        <f>Irms-Table1[[#This Row],[Ripple Current (A)]]</f>
        <v>10.49178</v>
      </c>
      <c r="E44">
        <f>Irms+Table1[[#This Row],[Ripple Current (A)]]</f>
        <v>13.50822</v>
      </c>
      <c r="F44">
        <f>Table1[[#This Row],[Vout]]*(Table1[[#This Row],[Imin]]+Table1[[#This Row],[Ripple Current (A)]])</f>
        <v>67.031999999999996</v>
      </c>
      <c r="G44" s="1">
        <f>Table1[[#This Row],[Pout]]/Frequency</f>
        <v>1.1172E-2</v>
      </c>
      <c r="H44" s="1">
        <f>Table1[[#This Row],[Duty]]/Frequency</f>
        <v>3.1666666666666666E-5</v>
      </c>
      <c r="I44" s="1">
        <f>Table1[[#This Row],[Pout]]/Vin</f>
        <v>2.2799999999999998</v>
      </c>
      <c r="J44" s="1">
        <f>Vin*Table1[[#This Row],[Idc]]*Table1[[#This Row],[Time On]]</f>
        <v>2.1226800000000001E-3</v>
      </c>
      <c r="K44" s="1">
        <f>Table1[[#This Row],[Energy/Cycle]]-Table1[[#This Row],[Edc]]</f>
        <v>9.0493199999999996E-3</v>
      </c>
      <c r="L44" s="1">
        <f>2*Table1[[#This Row],[E Capacitor]]/(Vin^2-(Vin-V_ripple)^2)</f>
        <v>3.1312525951557118E-4</v>
      </c>
      <c r="M44" s="1">
        <f>Table1[[#This Row],[Energy/Cycle]]-(Table1[[#This Row],[E Capacitor]]+Table1[[#This Row],[Edc]])</f>
        <v>0</v>
      </c>
      <c r="N4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4.6922845097743169</v>
      </c>
    </row>
    <row r="45" spans="1:14" x14ac:dyDescent="0.25">
      <c r="A45">
        <v>0.19500000000000001</v>
      </c>
      <c r="B45">
        <f t="shared" si="1"/>
        <v>5.7329999999999997</v>
      </c>
      <c r="C45">
        <f>(Vin-Table1[[#This Row],[Vout]])*Table1[[#This Row],[Duty]]/(Frequency*Inductance)</f>
        <v>1.5383549999999999</v>
      </c>
      <c r="D45">
        <f>Irms-Table1[[#This Row],[Ripple Current (A)]]</f>
        <v>10.461645000000001</v>
      </c>
      <c r="E45">
        <f>Irms+Table1[[#This Row],[Ripple Current (A)]]</f>
        <v>13.538354999999999</v>
      </c>
      <c r="F45">
        <f>Table1[[#This Row],[Vout]]*(Table1[[#This Row],[Imin]]+Table1[[#This Row],[Ripple Current (A)]])</f>
        <v>68.795999999999992</v>
      </c>
      <c r="G45" s="1">
        <f>Table1[[#This Row],[Pout]]/Frequency</f>
        <v>1.1465999999999999E-2</v>
      </c>
      <c r="H45" s="1">
        <f>Table1[[#This Row],[Duty]]/Frequency</f>
        <v>3.2500000000000004E-5</v>
      </c>
      <c r="I45" s="1">
        <f>Table1[[#This Row],[Pout]]/Vin</f>
        <v>2.34</v>
      </c>
      <c r="J45" s="1">
        <f>Vin*Table1[[#This Row],[Idc]]*Table1[[#This Row],[Time On]]</f>
        <v>2.23587E-3</v>
      </c>
      <c r="K45" s="1">
        <f>Table1[[#This Row],[Energy/Cycle]]-Table1[[#This Row],[Edc]]</f>
        <v>9.2301299999999996E-3</v>
      </c>
      <c r="L45" s="1">
        <f>2*Table1[[#This Row],[E Capacitor]]/(Vin^2-(Vin-V_ripple)^2)</f>
        <v>3.1938166089965421E-4</v>
      </c>
      <c r="M45" s="1">
        <f>Table1[[#This Row],[Energy/Cycle]]-(Table1[[#This Row],[E Capacitor]]+Table1[[#This Row],[Edc]])</f>
        <v>0</v>
      </c>
      <c r="N4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4.738203789740199</v>
      </c>
    </row>
    <row r="46" spans="1:14" x14ac:dyDescent="0.25">
      <c r="A46">
        <v>0.2</v>
      </c>
      <c r="B46">
        <f t="shared" si="1"/>
        <v>5.88</v>
      </c>
      <c r="C46">
        <f>(Vin-Table1[[#This Row],[Vout]])*Table1[[#This Row],[Duty]]/(Frequency*Inductance)</f>
        <v>1.5679999999999998</v>
      </c>
      <c r="D46">
        <f>Irms-Table1[[#This Row],[Ripple Current (A)]]</f>
        <v>10.432</v>
      </c>
      <c r="E46">
        <f>Irms+Table1[[#This Row],[Ripple Current (A)]]</f>
        <v>13.568</v>
      </c>
      <c r="F46">
        <f>Table1[[#This Row],[Vout]]*(Table1[[#This Row],[Imin]]+Table1[[#This Row],[Ripple Current (A)]])</f>
        <v>70.56</v>
      </c>
      <c r="G46" s="1">
        <f>Table1[[#This Row],[Pout]]/Frequency</f>
        <v>1.176E-2</v>
      </c>
      <c r="H46" s="1">
        <f>Table1[[#This Row],[Duty]]/Frequency</f>
        <v>3.3333333333333335E-5</v>
      </c>
      <c r="I46" s="1">
        <f>Table1[[#This Row],[Pout]]/Vin</f>
        <v>2.4000000000000004</v>
      </c>
      <c r="J46" s="1">
        <f>Vin*Table1[[#This Row],[Idc]]*Table1[[#This Row],[Time On]]</f>
        <v>2.3520000000000004E-3</v>
      </c>
      <c r="K46" s="1">
        <f>Table1[[#This Row],[Energy/Cycle]]-Table1[[#This Row],[Edc]]</f>
        <v>9.4079999999999997E-3</v>
      </c>
      <c r="L46" s="1">
        <f>2*Table1[[#This Row],[E Capacitor]]/(Vin^2-(Vin-V_ripple)^2)</f>
        <v>3.2553633217993104E-4</v>
      </c>
      <c r="M46" s="1">
        <f>Table1[[#This Row],[Energy/Cycle]]-(Table1[[#This Row],[E Capacitor]]+Table1[[#This Row],[Edc]])</f>
        <v>0</v>
      </c>
      <c r="N4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4.7828957476965073</v>
      </c>
    </row>
    <row r="47" spans="1:14" x14ac:dyDescent="0.25">
      <c r="A47">
        <v>0.20499999999999999</v>
      </c>
      <c r="B47">
        <f t="shared" si="1"/>
        <v>6.0269999999999992</v>
      </c>
      <c r="C47">
        <f>(Vin-Table1[[#This Row],[Vout]])*Table1[[#This Row],[Duty]]/(Frequency*Inductance)</f>
        <v>1.5971549999999999</v>
      </c>
      <c r="D47">
        <f>Irms-Table1[[#This Row],[Ripple Current (A)]]</f>
        <v>10.402844999999999</v>
      </c>
      <c r="E47">
        <f>Irms+Table1[[#This Row],[Ripple Current (A)]]</f>
        <v>13.597155000000001</v>
      </c>
      <c r="F47">
        <f>Table1[[#This Row],[Vout]]*(Table1[[#This Row],[Imin]]+Table1[[#This Row],[Ripple Current (A)]])</f>
        <v>72.323999999999984</v>
      </c>
      <c r="G47" s="1">
        <f>Table1[[#This Row],[Pout]]/Frequency</f>
        <v>1.2053999999999997E-2</v>
      </c>
      <c r="H47" s="1">
        <f>Table1[[#This Row],[Duty]]/Frequency</f>
        <v>3.4166666666666666E-5</v>
      </c>
      <c r="I47" s="1">
        <f>Table1[[#This Row],[Pout]]/Vin</f>
        <v>2.4599999999999995</v>
      </c>
      <c r="J47" s="1">
        <f>Vin*Table1[[#This Row],[Idc]]*Table1[[#This Row],[Time On]]</f>
        <v>2.4710699999999993E-3</v>
      </c>
      <c r="K47" s="1">
        <f>Table1[[#This Row],[Energy/Cycle]]-Table1[[#This Row],[Edc]]</f>
        <v>9.5829299999999982E-3</v>
      </c>
      <c r="L47" s="1">
        <f>2*Table1[[#This Row],[E Capacitor]]/(Vin^2-(Vin-V_ripple)^2)</f>
        <v>3.3158927335640156E-4</v>
      </c>
      <c r="M47" s="1">
        <f>Table1[[#This Row],[Energy/Cycle]]-(Table1[[#This Row],[E Capacitor]]+Table1[[#This Row],[Edc]])</f>
        <v>0</v>
      </c>
      <c r="N4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4.8263949507102737</v>
      </c>
    </row>
    <row r="48" spans="1:14" x14ac:dyDescent="0.25">
      <c r="A48">
        <v>0.21</v>
      </c>
      <c r="B48">
        <f t="shared" si="1"/>
        <v>6.1739999999999995</v>
      </c>
      <c r="C48">
        <f>(Vin-Table1[[#This Row],[Vout]])*Table1[[#This Row],[Duty]]/(Frequency*Inductance)</f>
        <v>1.6258199999999998</v>
      </c>
      <c r="D48">
        <f>Irms-Table1[[#This Row],[Ripple Current (A)]]</f>
        <v>10.374180000000001</v>
      </c>
      <c r="E48">
        <f>Irms+Table1[[#This Row],[Ripple Current (A)]]</f>
        <v>13.625819999999999</v>
      </c>
      <c r="F48">
        <f>Table1[[#This Row],[Vout]]*(Table1[[#This Row],[Imin]]+Table1[[#This Row],[Ripple Current (A)]])</f>
        <v>74.087999999999994</v>
      </c>
      <c r="G48" s="1">
        <f>Table1[[#This Row],[Pout]]/Frequency</f>
        <v>1.2348E-2</v>
      </c>
      <c r="H48" s="1">
        <f>Table1[[#This Row],[Duty]]/Frequency</f>
        <v>3.4999999999999997E-5</v>
      </c>
      <c r="I48" s="1">
        <f>Table1[[#This Row],[Pout]]/Vin</f>
        <v>2.52</v>
      </c>
      <c r="J48" s="1">
        <f>Vin*Table1[[#This Row],[Idc]]*Table1[[#This Row],[Time On]]</f>
        <v>2.5930799999999993E-3</v>
      </c>
      <c r="K48" s="1">
        <f>Table1[[#This Row],[Energy/Cycle]]-Table1[[#This Row],[Edc]]</f>
        <v>9.7549200000000003E-3</v>
      </c>
      <c r="L48" s="1">
        <f>2*Table1[[#This Row],[E Capacitor]]/(Vin^2-(Vin-V_ripple)^2)</f>
        <v>3.3754048442906603E-4</v>
      </c>
      <c r="M48" s="1">
        <f>Table1[[#This Row],[Energy/Cycle]]-(Table1[[#This Row],[E Capacitor]]+Table1[[#This Row],[Edc]])</f>
        <v>0</v>
      </c>
      <c r="N4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4.8687338860254012</v>
      </c>
    </row>
    <row r="49" spans="1:14" x14ac:dyDescent="0.25">
      <c r="A49">
        <v>0.215</v>
      </c>
      <c r="B49">
        <f t="shared" si="1"/>
        <v>6.3209999999999997</v>
      </c>
      <c r="C49">
        <f>(Vin-Table1[[#This Row],[Vout]])*Table1[[#This Row],[Duty]]/(Frequency*Inductance)</f>
        <v>1.6539950000000001</v>
      </c>
      <c r="D49">
        <f>Irms-Table1[[#This Row],[Ripple Current (A)]]</f>
        <v>10.346005</v>
      </c>
      <c r="E49">
        <f>Irms+Table1[[#This Row],[Ripple Current (A)]]</f>
        <v>13.653995</v>
      </c>
      <c r="F49">
        <f>Table1[[#This Row],[Vout]]*(Table1[[#This Row],[Imin]]+Table1[[#This Row],[Ripple Current (A)]])</f>
        <v>75.852000000000004</v>
      </c>
      <c r="G49" s="1">
        <f>Table1[[#This Row],[Pout]]/Frequency</f>
        <v>1.2642E-2</v>
      </c>
      <c r="H49" s="1">
        <f>Table1[[#This Row],[Duty]]/Frequency</f>
        <v>3.5833333333333335E-5</v>
      </c>
      <c r="I49" s="1">
        <f>Table1[[#This Row],[Pout]]/Vin</f>
        <v>2.58</v>
      </c>
      <c r="J49" s="1">
        <f>Vin*Table1[[#This Row],[Idc]]*Table1[[#This Row],[Time On]]</f>
        <v>2.7180300000000002E-3</v>
      </c>
      <c r="K49" s="1">
        <f>Table1[[#This Row],[Energy/Cycle]]-Table1[[#This Row],[Edc]]</f>
        <v>9.9239700000000007E-3</v>
      </c>
      <c r="L49" s="1">
        <f>2*Table1[[#This Row],[E Capacitor]]/(Vin^2-(Vin-V_ripple)^2)</f>
        <v>3.4338996539792419E-4</v>
      </c>
      <c r="M49" s="1">
        <f>Table1[[#This Row],[Energy/Cycle]]-(Table1[[#This Row],[E Capacitor]]+Table1[[#This Row],[Edc]])</f>
        <v>0</v>
      </c>
      <c r="N4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4.9099431298843177</v>
      </c>
    </row>
    <row r="50" spans="1:14" x14ac:dyDescent="0.25">
      <c r="A50">
        <v>0.22</v>
      </c>
      <c r="B50">
        <f t="shared" si="1"/>
        <v>6.468</v>
      </c>
      <c r="C50">
        <f>(Vin-Table1[[#This Row],[Vout]])*Table1[[#This Row],[Duty]]/(Frequency*Inductance)</f>
        <v>1.6816799999999998</v>
      </c>
      <c r="D50">
        <f>Irms-Table1[[#This Row],[Ripple Current (A)]]</f>
        <v>10.31832</v>
      </c>
      <c r="E50">
        <f>Irms+Table1[[#This Row],[Ripple Current (A)]]</f>
        <v>13.68168</v>
      </c>
      <c r="F50">
        <f>Table1[[#This Row],[Vout]]*(Table1[[#This Row],[Imin]]+Table1[[#This Row],[Ripple Current (A)]])</f>
        <v>77.616</v>
      </c>
      <c r="G50" s="1">
        <f>Table1[[#This Row],[Pout]]/Frequency</f>
        <v>1.2936E-2</v>
      </c>
      <c r="H50" s="1">
        <f>Table1[[#This Row],[Duty]]/Frequency</f>
        <v>3.6666666666666666E-5</v>
      </c>
      <c r="I50" s="1">
        <f>Table1[[#This Row],[Pout]]/Vin</f>
        <v>2.64</v>
      </c>
      <c r="J50" s="1">
        <f>Vin*Table1[[#This Row],[Idc]]*Table1[[#This Row],[Time On]]</f>
        <v>2.84592E-3</v>
      </c>
      <c r="K50" s="1">
        <f>Table1[[#This Row],[Energy/Cycle]]-Table1[[#This Row],[Edc]]</f>
        <v>1.009008E-2</v>
      </c>
      <c r="L50" s="1">
        <f>2*Table1[[#This Row],[E Capacitor]]/(Vin^2-(Vin-V_ripple)^2)</f>
        <v>3.4913771626297603E-4</v>
      </c>
      <c r="M50" s="1">
        <f>Table1[[#This Row],[Energy/Cycle]]-(Table1[[#This Row],[E Capacitor]]+Table1[[#This Row],[Edc]])</f>
        <v>0</v>
      </c>
      <c r="N5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4.9500514988254407</v>
      </c>
    </row>
    <row r="51" spans="1:14" x14ac:dyDescent="0.25">
      <c r="A51">
        <v>0.22500000000000001</v>
      </c>
      <c r="B51">
        <f t="shared" si="1"/>
        <v>6.6150000000000002</v>
      </c>
      <c r="C51">
        <f>(Vin-Table1[[#This Row],[Vout]])*Table1[[#This Row],[Duty]]/(Frequency*Inductance)</f>
        <v>1.7088749999999999</v>
      </c>
      <c r="D51">
        <f>Irms-Table1[[#This Row],[Ripple Current (A)]]</f>
        <v>10.291125000000001</v>
      </c>
      <c r="E51">
        <f>Irms+Table1[[#This Row],[Ripple Current (A)]]</f>
        <v>13.708874999999999</v>
      </c>
      <c r="F51">
        <f>Table1[[#This Row],[Vout]]*(Table1[[#This Row],[Imin]]+Table1[[#This Row],[Ripple Current (A)]])</f>
        <v>79.38</v>
      </c>
      <c r="G51" s="1">
        <f>Table1[[#This Row],[Pout]]/Frequency</f>
        <v>1.3229999999999999E-2</v>
      </c>
      <c r="H51" s="1">
        <f>Table1[[#This Row],[Duty]]/Frequency</f>
        <v>3.7500000000000003E-5</v>
      </c>
      <c r="I51" s="1">
        <f>Table1[[#This Row],[Pout]]/Vin</f>
        <v>2.7</v>
      </c>
      <c r="J51" s="1">
        <f>Vin*Table1[[#This Row],[Idc]]*Table1[[#This Row],[Time On]]</f>
        <v>2.9767500000000002E-3</v>
      </c>
      <c r="K51" s="1">
        <f>Table1[[#This Row],[Energy/Cycle]]-Table1[[#This Row],[Edc]]</f>
        <v>1.0253249999999998E-2</v>
      </c>
      <c r="L51" s="1">
        <f>2*Table1[[#This Row],[E Capacitor]]/(Vin^2-(Vin-V_ripple)^2)</f>
        <v>3.5478373702422166E-4</v>
      </c>
      <c r="M51" s="1">
        <f>Table1[[#This Row],[Energy/Cycle]]-(Table1[[#This Row],[E Capacitor]]+Table1[[#This Row],[Edc]])</f>
        <v>0</v>
      </c>
      <c r="N5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4.9890861856233881</v>
      </c>
    </row>
    <row r="52" spans="1:14" x14ac:dyDescent="0.25">
      <c r="A52">
        <v>0.23</v>
      </c>
      <c r="B52">
        <f t="shared" si="1"/>
        <v>6.7619999999999996</v>
      </c>
      <c r="C52">
        <f>(Vin-Table1[[#This Row],[Vout]])*Table1[[#This Row],[Duty]]/(Frequency*Inductance)</f>
        <v>1.7355799999999999</v>
      </c>
      <c r="D52">
        <f>Irms-Table1[[#This Row],[Ripple Current (A)]]</f>
        <v>10.264419999999999</v>
      </c>
      <c r="E52">
        <f>Irms+Table1[[#This Row],[Ripple Current (A)]]</f>
        <v>13.735580000000001</v>
      </c>
      <c r="F52">
        <f>Table1[[#This Row],[Vout]]*(Table1[[#This Row],[Imin]]+Table1[[#This Row],[Ripple Current (A)]])</f>
        <v>81.143999999999991</v>
      </c>
      <c r="G52" s="1">
        <f>Table1[[#This Row],[Pout]]/Frequency</f>
        <v>1.3523999999999998E-2</v>
      </c>
      <c r="H52" s="1">
        <f>Table1[[#This Row],[Duty]]/Frequency</f>
        <v>3.8333333333333334E-5</v>
      </c>
      <c r="I52" s="1">
        <f>Table1[[#This Row],[Pout]]/Vin</f>
        <v>2.76</v>
      </c>
      <c r="J52" s="1">
        <f>Vin*Table1[[#This Row],[Idc]]*Table1[[#This Row],[Time On]]</f>
        <v>3.1105199999999999E-3</v>
      </c>
      <c r="K52" s="1">
        <f>Table1[[#This Row],[Energy/Cycle]]-Table1[[#This Row],[Edc]]</f>
        <v>1.0413479999999998E-2</v>
      </c>
      <c r="L52" s="1">
        <f>2*Table1[[#This Row],[E Capacitor]]/(Vin^2-(Vin-V_ripple)^2)</f>
        <v>3.6032802768166109E-4</v>
      </c>
      <c r="M52" s="1">
        <f>Table1[[#This Row],[Energy/Cycle]]-(Table1[[#This Row],[E Capacitor]]+Table1[[#This Row],[Edc]])</f>
        <v>0</v>
      </c>
      <c r="N5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5.0270728817284249</v>
      </c>
    </row>
    <row r="53" spans="1:14" x14ac:dyDescent="0.25">
      <c r="A53">
        <v>0.23499999999999999</v>
      </c>
      <c r="B53">
        <f t="shared" si="1"/>
        <v>6.9089999999999989</v>
      </c>
      <c r="C53">
        <f>(Vin-Table1[[#This Row],[Vout]])*Table1[[#This Row],[Duty]]/(Frequency*Inductance)</f>
        <v>1.761795</v>
      </c>
      <c r="D53">
        <f>Irms-Table1[[#This Row],[Ripple Current (A)]]</f>
        <v>10.238205000000001</v>
      </c>
      <c r="E53">
        <f>Irms+Table1[[#This Row],[Ripple Current (A)]]</f>
        <v>13.761794999999999</v>
      </c>
      <c r="F53">
        <f>Table1[[#This Row],[Vout]]*(Table1[[#This Row],[Imin]]+Table1[[#This Row],[Ripple Current (A)]])</f>
        <v>82.907999999999987</v>
      </c>
      <c r="G53" s="1">
        <f>Table1[[#This Row],[Pout]]/Frequency</f>
        <v>1.3817999999999999E-2</v>
      </c>
      <c r="H53" s="1">
        <f>Table1[[#This Row],[Duty]]/Frequency</f>
        <v>3.9166666666666665E-5</v>
      </c>
      <c r="I53" s="1">
        <f>Table1[[#This Row],[Pout]]/Vin</f>
        <v>2.82</v>
      </c>
      <c r="J53" s="1">
        <f>Vin*Table1[[#This Row],[Idc]]*Table1[[#This Row],[Time On]]</f>
        <v>3.2472299999999994E-3</v>
      </c>
      <c r="K53" s="1">
        <f>Table1[[#This Row],[Energy/Cycle]]-Table1[[#This Row],[Edc]]</f>
        <v>1.057077E-2</v>
      </c>
      <c r="L53" s="1">
        <f>2*Table1[[#This Row],[E Capacitor]]/(Vin^2-(Vin-V_ripple)^2)</f>
        <v>3.6577058823529442E-4</v>
      </c>
      <c r="M53" s="1">
        <f>Table1[[#This Row],[Energy/Cycle]]-(Table1[[#This Row],[E Capacitor]]+Table1[[#This Row],[Edc]])</f>
        <v>0</v>
      </c>
      <c r="N5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5.0640358878014853</v>
      </c>
    </row>
    <row r="54" spans="1:14" x14ac:dyDescent="0.25">
      <c r="A54">
        <v>0.24</v>
      </c>
      <c r="B54">
        <f t="shared" si="1"/>
        <v>7.0559999999999992</v>
      </c>
      <c r="C54">
        <f>(Vin-Table1[[#This Row],[Vout]])*Table1[[#This Row],[Duty]]/(Frequency*Inductance)</f>
        <v>1.78752</v>
      </c>
      <c r="D54">
        <f>Irms-Table1[[#This Row],[Ripple Current (A)]]</f>
        <v>10.212479999999999</v>
      </c>
      <c r="E54">
        <f>Irms+Table1[[#This Row],[Ripple Current (A)]]</f>
        <v>13.787520000000001</v>
      </c>
      <c r="F54">
        <f>Table1[[#This Row],[Vout]]*(Table1[[#This Row],[Imin]]+Table1[[#This Row],[Ripple Current (A)]])</f>
        <v>84.671999999999997</v>
      </c>
      <c r="G54" s="1">
        <f>Table1[[#This Row],[Pout]]/Frequency</f>
        <v>1.4112E-2</v>
      </c>
      <c r="H54" s="1">
        <f>Table1[[#This Row],[Duty]]/Frequency</f>
        <v>3.9999999999999996E-5</v>
      </c>
      <c r="I54" s="1">
        <f>Table1[[#This Row],[Pout]]/Vin</f>
        <v>2.88</v>
      </c>
      <c r="J54" s="1">
        <f>Vin*Table1[[#This Row],[Idc]]*Table1[[#This Row],[Time On]]</f>
        <v>3.3868799999999997E-3</v>
      </c>
      <c r="K54" s="1">
        <f>Table1[[#This Row],[Energy/Cycle]]-Table1[[#This Row],[Edc]]</f>
        <v>1.0725119999999999E-2</v>
      </c>
      <c r="L54" s="1">
        <f>2*Table1[[#This Row],[E Capacitor]]/(Vin^2-(Vin-V_ripple)^2)</f>
        <v>3.7111141868512138E-4</v>
      </c>
      <c r="M54" s="1">
        <f>Table1[[#This Row],[Energy/Cycle]]-(Table1[[#This Row],[E Capacitor]]+Table1[[#This Row],[Edc]])</f>
        <v>0</v>
      </c>
      <c r="N5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5.0999982137220403</v>
      </c>
    </row>
    <row r="55" spans="1:14" x14ac:dyDescent="0.25">
      <c r="A55">
        <v>0.245</v>
      </c>
      <c r="B55">
        <f t="shared" si="1"/>
        <v>7.2029999999999994</v>
      </c>
      <c r="C55">
        <f>(Vin-Table1[[#This Row],[Vout]])*Table1[[#This Row],[Duty]]/(Frequency*Inductance)</f>
        <v>1.8127549999999999</v>
      </c>
      <c r="D55">
        <f>Irms-Table1[[#This Row],[Ripple Current (A)]]</f>
        <v>10.187245000000001</v>
      </c>
      <c r="E55">
        <f>Irms+Table1[[#This Row],[Ripple Current (A)]]</f>
        <v>13.812754999999999</v>
      </c>
      <c r="F55">
        <f>Table1[[#This Row],[Vout]]*(Table1[[#This Row],[Imin]]+Table1[[#This Row],[Ripple Current (A)]])</f>
        <v>86.435999999999993</v>
      </c>
      <c r="G55" s="1">
        <f>Table1[[#This Row],[Pout]]/Frequency</f>
        <v>1.4405999999999999E-2</v>
      </c>
      <c r="H55" s="1">
        <f>Table1[[#This Row],[Duty]]/Frequency</f>
        <v>4.0833333333333334E-5</v>
      </c>
      <c r="I55" s="1">
        <f>Table1[[#This Row],[Pout]]/Vin</f>
        <v>2.94</v>
      </c>
      <c r="J55" s="1">
        <f>Vin*Table1[[#This Row],[Idc]]*Table1[[#This Row],[Time On]]</f>
        <v>3.5294699999999998E-3</v>
      </c>
      <c r="K55" s="1">
        <f>Table1[[#This Row],[Energy/Cycle]]-Table1[[#This Row],[Edc]]</f>
        <v>1.0876529999999999E-2</v>
      </c>
      <c r="L55" s="1">
        <f>2*Table1[[#This Row],[E Capacitor]]/(Vin^2-(Vin-V_ripple)^2)</f>
        <v>3.7635051903114213E-4</v>
      </c>
      <c r="M55" s="1">
        <f>Table1[[#This Row],[Energy/Cycle]]-(Table1[[#This Row],[E Capacitor]]+Table1[[#This Row],[Edc]])</f>
        <v>0</v>
      </c>
      <c r="N5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5.1349816692611441</v>
      </c>
    </row>
    <row r="56" spans="1:14" x14ac:dyDescent="0.25">
      <c r="A56">
        <v>0.25</v>
      </c>
      <c r="B56">
        <f t="shared" si="1"/>
        <v>7.35</v>
      </c>
      <c r="C56">
        <f>(Vin-Table1[[#This Row],[Vout]])*Table1[[#This Row],[Duty]]/(Frequency*Inductance)</f>
        <v>1.8374999999999997</v>
      </c>
      <c r="D56">
        <f>Irms-Table1[[#This Row],[Ripple Current (A)]]</f>
        <v>10.1625</v>
      </c>
      <c r="E56">
        <f>Irms+Table1[[#This Row],[Ripple Current (A)]]</f>
        <v>13.8375</v>
      </c>
      <c r="F56">
        <f>Table1[[#This Row],[Vout]]*(Table1[[#This Row],[Imin]]+Table1[[#This Row],[Ripple Current (A)]])</f>
        <v>88.199999999999989</v>
      </c>
      <c r="G56" s="1">
        <f>Table1[[#This Row],[Pout]]/Frequency</f>
        <v>1.4699999999999998E-2</v>
      </c>
      <c r="H56" s="1">
        <f>Table1[[#This Row],[Duty]]/Frequency</f>
        <v>4.1666666666666665E-5</v>
      </c>
      <c r="I56" s="1">
        <f>Table1[[#This Row],[Pout]]/Vin</f>
        <v>2.9999999999999996</v>
      </c>
      <c r="J56" s="1">
        <f>Vin*Table1[[#This Row],[Idc]]*Table1[[#This Row],[Time On]]</f>
        <v>3.6749999999999994E-3</v>
      </c>
      <c r="K56" s="1">
        <f>Table1[[#This Row],[Energy/Cycle]]-Table1[[#This Row],[Edc]]</f>
        <v>1.1024999999999998E-2</v>
      </c>
      <c r="L56" s="1">
        <f>2*Table1[[#This Row],[E Capacitor]]/(Vin^2-(Vin-V_ripple)^2)</f>
        <v>3.8148788927335663E-4</v>
      </c>
      <c r="M56" s="1">
        <f>Table1[[#This Row],[Energy/Cycle]]-(Table1[[#This Row],[E Capacitor]]+Table1[[#This Row],[Edc]])</f>
        <v>0</v>
      </c>
      <c r="N5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5.1690069464549948</v>
      </c>
    </row>
    <row r="57" spans="1:14" x14ac:dyDescent="0.25">
      <c r="A57">
        <v>0.255</v>
      </c>
      <c r="B57">
        <f t="shared" si="1"/>
        <v>7.4969999999999999</v>
      </c>
      <c r="C57">
        <f>(Vin-Table1[[#This Row],[Vout]])*Table1[[#This Row],[Duty]]/(Frequency*Inductance)</f>
        <v>1.8617549999999998</v>
      </c>
      <c r="D57">
        <f>Irms-Table1[[#This Row],[Ripple Current (A)]]</f>
        <v>10.138245</v>
      </c>
      <c r="E57">
        <f>Irms+Table1[[#This Row],[Ripple Current (A)]]</f>
        <v>13.861755</v>
      </c>
      <c r="F57">
        <f>Table1[[#This Row],[Vout]]*(Table1[[#This Row],[Imin]]+Table1[[#This Row],[Ripple Current (A)]])</f>
        <v>89.963999999999999</v>
      </c>
      <c r="G57" s="1">
        <f>Table1[[#This Row],[Pout]]/Frequency</f>
        <v>1.4994E-2</v>
      </c>
      <c r="H57" s="1">
        <f>Table1[[#This Row],[Duty]]/Frequency</f>
        <v>4.2500000000000003E-5</v>
      </c>
      <c r="I57" s="1">
        <f>Table1[[#This Row],[Pout]]/Vin</f>
        <v>3.06</v>
      </c>
      <c r="J57" s="1">
        <f>Vin*Table1[[#This Row],[Idc]]*Table1[[#This Row],[Time On]]</f>
        <v>3.8234700000000003E-3</v>
      </c>
      <c r="K57" s="1">
        <f>Table1[[#This Row],[Energy/Cycle]]-Table1[[#This Row],[Edc]]</f>
        <v>1.117053E-2</v>
      </c>
      <c r="L57" s="1">
        <f>2*Table1[[#This Row],[E Capacitor]]/(Vin^2-(Vin-V_ripple)^2)</f>
        <v>3.8652352941176502E-4</v>
      </c>
      <c r="M57" s="1">
        <f>Table1[[#This Row],[Energy/Cycle]]-(Table1[[#This Row],[E Capacitor]]+Table1[[#This Row],[Edc]])</f>
        <v>0</v>
      </c>
      <c r="N5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5.2020936945808529</v>
      </c>
    </row>
    <row r="58" spans="1:14" x14ac:dyDescent="0.25">
      <c r="A58">
        <v>0.26</v>
      </c>
      <c r="B58">
        <f t="shared" si="1"/>
        <v>7.6440000000000001</v>
      </c>
      <c r="C58">
        <f>(Vin-Table1[[#This Row],[Vout]])*Table1[[#This Row],[Duty]]/(Frequency*Inductance)</f>
        <v>1.8855199999999999</v>
      </c>
      <c r="D58">
        <f>Irms-Table1[[#This Row],[Ripple Current (A)]]</f>
        <v>10.11448</v>
      </c>
      <c r="E58">
        <f>Irms+Table1[[#This Row],[Ripple Current (A)]]</f>
        <v>13.88552</v>
      </c>
      <c r="F58">
        <f>Table1[[#This Row],[Vout]]*(Table1[[#This Row],[Imin]]+Table1[[#This Row],[Ripple Current (A)]])</f>
        <v>91.728000000000009</v>
      </c>
      <c r="G58" s="1">
        <f>Table1[[#This Row],[Pout]]/Frequency</f>
        <v>1.5288000000000001E-2</v>
      </c>
      <c r="H58" s="1">
        <f>Table1[[#This Row],[Duty]]/Frequency</f>
        <v>4.3333333333333334E-5</v>
      </c>
      <c r="I58" s="1">
        <f>Table1[[#This Row],[Pout]]/Vin</f>
        <v>3.1200000000000006</v>
      </c>
      <c r="J58" s="1">
        <f>Vin*Table1[[#This Row],[Idc]]*Table1[[#This Row],[Time On]]</f>
        <v>3.9748800000000001E-3</v>
      </c>
      <c r="K58" s="1">
        <f>Table1[[#This Row],[Energy/Cycle]]-Table1[[#This Row],[Edc]]</f>
        <v>1.1313120000000001E-2</v>
      </c>
      <c r="L58" s="1">
        <f>2*Table1[[#This Row],[E Capacitor]]/(Vin^2-(Vin-V_ripple)^2)</f>
        <v>3.9145743944636716E-4</v>
      </c>
      <c r="M58" s="1">
        <f>Table1[[#This Row],[Energy/Cycle]]-(Table1[[#This Row],[E Capacitor]]+Table1[[#This Row],[Edc]])</f>
        <v>0</v>
      </c>
      <c r="N5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5.2342605885230178</v>
      </c>
    </row>
    <row r="59" spans="1:14" x14ac:dyDescent="0.25">
      <c r="A59">
        <v>0.26500000000000001</v>
      </c>
      <c r="B59">
        <f t="shared" si="1"/>
        <v>7.7910000000000004</v>
      </c>
      <c r="C59">
        <f>(Vin-Table1[[#This Row],[Vout]])*Table1[[#This Row],[Duty]]/(Frequency*Inductance)</f>
        <v>1.9087949999999998</v>
      </c>
      <c r="D59">
        <f>Irms-Table1[[#This Row],[Ripple Current (A)]]</f>
        <v>10.091205</v>
      </c>
      <c r="E59">
        <f>Irms+Table1[[#This Row],[Ripple Current (A)]]</f>
        <v>13.908795</v>
      </c>
      <c r="F59">
        <f>Table1[[#This Row],[Vout]]*(Table1[[#This Row],[Imin]]+Table1[[#This Row],[Ripple Current (A)]])</f>
        <v>93.492000000000004</v>
      </c>
      <c r="G59" s="1">
        <f>Table1[[#This Row],[Pout]]/Frequency</f>
        <v>1.5582E-2</v>
      </c>
      <c r="H59" s="1">
        <f>Table1[[#This Row],[Duty]]/Frequency</f>
        <v>4.4166666666666672E-5</v>
      </c>
      <c r="I59" s="1">
        <f>Table1[[#This Row],[Pout]]/Vin</f>
        <v>3.18</v>
      </c>
      <c r="J59" s="1">
        <f>Vin*Table1[[#This Row],[Idc]]*Table1[[#This Row],[Time On]]</f>
        <v>4.1292300000000011E-3</v>
      </c>
      <c r="K59" s="1">
        <f>Table1[[#This Row],[Energy/Cycle]]-Table1[[#This Row],[Edc]]</f>
        <v>1.1452769999999999E-2</v>
      </c>
      <c r="L59" s="1">
        <f>2*Table1[[#This Row],[E Capacitor]]/(Vin^2-(Vin-V_ripple)^2)</f>
        <v>3.9628961937716292E-4</v>
      </c>
      <c r="M59" s="1">
        <f>Table1[[#This Row],[Energy/Cycle]]-(Table1[[#This Row],[E Capacitor]]+Table1[[#This Row],[Edc]])</f>
        <v>0</v>
      </c>
      <c r="N5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5.2655253912189171</v>
      </c>
    </row>
    <row r="60" spans="1:14" x14ac:dyDescent="0.25">
      <c r="A60">
        <v>0.27</v>
      </c>
      <c r="B60">
        <f t="shared" si="1"/>
        <v>7.9379999999999997</v>
      </c>
      <c r="C60">
        <f>(Vin-Table1[[#This Row],[Vout]])*Table1[[#This Row],[Duty]]/(Frequency*Inductance)</f>
        <v>1.9315800000000001</v>
      </c>
      <c r="D60">
        <f>Irms-Table1[[#This Row],[Ripple Current (A)]]</f>
        <v>10.06842</v>
      </c>
      <c r="E60">
        <f>Irms+Table1[[#This Row],[Ripple Current (A)]]</f>
        <v>13.93158</v>
      </c>
      <c r="F60">
        <f>Table1[[#This Row],[Vout]]*(Table1[[#This Row],[Imin]]+Table1[[#This Row],[Ripple Current (A)]])</f>
        <v>95.256</v>
      </c>
      <c r="G60" s="1">
        <f>Table1[[#This Row],[Pout]]/Frequency</f>
        <v>1.5876000000000001E-2</v>
      </c>
      <c r="H60" s="1">
        <f>Table1[[#This Row],[Duty]]/Frequency</f>
        <v>4.5000000000000003E-5</v>
      </c>
      <c r="I60" s="1">
        <f>Table1[[#This Row],[Pout]]/Vin</f>
        <v>3.24</v>
      </c>
      <c r="J60" s="1">
        <f>Vin*Table1[[#This Row],[Idc]]*Table1[[#This Row],[Time On]]</f>
        <v>4.2865200000000003E-3</v>
      </c>
      <c r="K60" s="1">
        <f>Table1[[#This Row],[Energy/Cycle]]-Table1[[#This Row],[Edc]]</f>
        <v>1.1589480000000001E-2</v>
      </c>
      <c r="L60" s="1">
        <f>2*Table1[[#This Row],[E Capacitor]]/(Vin^2-(Vin-V_ripple)^2)</f>
        <v>4.0102006920415259E-4</v>
      </c>
      <c r="M60" s="1">
        <f>Table1[[#This Row],[Energy/Cycle]]-(Table1[[#This Row],[E Capacitor]]+Table1[[#This Row],[Edc]])</f>
        <v>0</v>
      </c>
      <c r="N6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5.2959050107912624</v>
      </c>
    </row>
    <row r="61" spans="1:14" x14ac:dyDescent="0.25">
      <c r="A61">
        <v>0.27500000000000002</v>
      </c>
      <c r="B61">
        <f t="shared" si="1"/>
        <v>8.0850000000000009</v>
      </c>
      <c r="C61">
        <f>(Vin-Table1[[#This Row],[Vout]])*Table1[[#This Row],[Duty]]/(Frequency*Inductance)</f>
        <v>1.953875</v>
      </c>
      <c r="D61">
        <f>Irms-Table1[[#This Row],[Ripple Current (A)]]</f>
        <v>10.046125</v>
      </c>
      <c r="E61">
        <f>Irms+Table1[[#This Row],[Ripple Current (A)]]</f>
        <v>13.953875</v>
      </c>
      <c r="F61">
        <f>Table1[[#This Row],[Vout]]*(Table1[[#This Row],[Imin]]+Table1[[#This Row],[Ripple Current (A)]])</f>
        <v>97.02000000000001</v>
      </c>
      <c r="G61" s="1">
        <f>Table1[[#This Row],[Pout]]/Frequency</f>
        <v>1.617E-2</v>
      </c>
      <c r="H61" s="1">
        <f>Table1[[#This Row],[Duty]]/Frequency</f>
        <v>4.5833333333333334E-5</v>
      </c>
      <c r="I61" s="1">
        <f>Table1[[#This Row],[Pout]]/Vin</f>
        <v>3.3000000000000007</v>
      </c>
      <c r="J61" s="1">
        <f>Vin*Table1[[#This Row],[Idc]]*Table1[[#This Row],[Time On]]</f>
        <v>4.4467500000000002E-3</v>
      </c>
      <c r="K61" s="1">
        <f>Table1[[#This Row],[Energy/Cycle]]-Table1[[#This Row],[Edc]]</f>
        <v>1.1723250000000001E-2</v>
      </c>
      <c r="L61" s="1">
        <f>2*Table1[[#This Row],[E Capacitor]]/(Vin^2-(Vin-V_ripple)^2)</f>
        <v>4.0564878892733599E-4</v>
      </c>
      <c r="M61" s="1">
        <f>Table1[[#This Row],[Energy/Cycle]]-(Table1[[#This Row],[E Capacitor]]+Table1[[#This Row],[Edc]])</f>
        <v>0</v>
      </c>
      <c r="N6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5.3254155528998588</v>
      </c>
    </row>
    <row r="62" spans="1:14" x14ac:dyDescent="0.25">
      <c r="A62">
        <v>0.28000000000000003</v>
      </c>
      <c r="B62">
        <f t="shared" si="1"/>
        <v>8.2320000000000011</v>
      </c>
      <c r="C62">
        <f>(Vin-Table1[[#This Row],[Vout]])*Table1[[#This Row],[Duty]]/(Frequency*Inductance)</f>
        <v>1.9756800000000003</v>
      </c>
      <c r="D62">
        <f>Irms-Table1[[#This Row],[Ripple Current (A)]]</f>
        <v>10.024319999999999</v>
      </c>
      <c r="E62">
        <f>Irms+Table1[[#This Row],[Ripple Current (A)]]</f>
        <v>13.975680000000001</v>
      </c>
      <c r="F62">
        <f>Table1[[#This Row],[Vout]]*(Table1[[#This Row],[Imin]]+Table1[[#This Row],[Ripple Current (A)]])</f>
        <v>98.78400000000002</v>
      </c>
      <c r="G62" s="1">
        <f>Table1[[#This Row],[Pout]]/Frequency</f>
        <v>1.6464000000000003E-2</v>
      </c>
      <c r="H62" s="1">
        <f>Table1[[#This Row],[Duty]]/Frequency</f>
        <v>4.6666666666666672E-5</v>
      </c>
      <c r="I62" s="1">
        <f>Table1[[#This Row],[Pout]]/Vin</f>
        <v>3.3600000000000008</v>
      </c>
      <c r="J62" s="1">
        <f>Vin*Table1[[#This Row],[Idc]]*Table1[[#This Row],[Time On]]</f>
        <v>4.6099200000000017E-3</v>
      </c>
      <c r="K62" s="1">
        <f>Table1[[#This Row],[Energy/Cycle]]-Table1[[#This Row],[Edc]]</f>
        <v>1.1854080000000001E-2</v>
      </c>
      <c r="L62" s="1">
        <f>2*Table1[[#This Row],[E Capacitor]]/(Vin^2-(Vin-V_ripple)^2)</f>
        <v>4.1017577854671319E-4</v>
      </c>
      <c r="M62" s="1">
        <f>Table1[[#This Row],[Energy/Cycle]]-(Table1[[#This Row],[E Capacitor]]+Table1[[#This Row],[Edc]])</f>
        <v>0</v>
      </c>
      <c r="N6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5.3540723687839709</v>
      </c>
    </row>
    <row r="63" spans="1:14" x14ac:dyDescent="0.25">
      <c r="A63">
        <v>0.28499999999999998</v>
      </c>
      <c r="B63">
        <f t="shared" si="1"/>
        <v>8.3789999999999996</v>
      </c>
      <c r="C63">
        <f>(Vin-Table1[[#This Row],[Vout]])*Table1[[#This Row],[Duty]]/(Frequency*Inductance)</f>
        <v>1.9969949999999999</v>
      </c>
      <c r="D63">
        <f>Irms-Table1[[#This Row],[Ripple Current (A)]]</f>
        <v>10.003005</v>
      </c>
      <c r="E63">
        <f>Irms+Table1[[#This Row],[Ripple Current (A)]]</f>
        <v>13.996995</v>
      </c>
      <c r="F63">
        <f>Table1[[#This Row],[Vout]]*(Table1[[#This Row],[Imin]]+Table1[[#This Row],[Ripple Current (A)]])</f>
        <v>100.548</v>
      </c>
      <c r="G63" s="1">
        <f>Table1[[#This Row],[Pout]]/Frequency</f>
        <v>1.6757999999999999E-2</v>
      </c>
      <c r="H63" s="1">
        <f>Table1[[#This Row],[Duty]]/Frequency</f>
        <v>4.7499999999999996E-5</v>
      </c>
      <c r="I63" s="1">
        <f>Table1[[#This Row],[Pout]]/Vin</f>
        <v>3.4200000000000004</v>
      </c>
      <c r="J63" s="1">
        <f>Vin*Table1[[#This Row],[Idc]]*Table1[[#This Row],[Time On]]</f>
        <v>4.7760299999999997E-3</v>
      </c>
      <c r="K63" s="1">
        <f>Table1[[#This Row],[Energy/Cycle]]-Table1[[#This Row],[Edc]]</f>
        <v>1.1981969999999998E-2</v>
      </c>
      <c r="L63" s="1">
        <f>2*Table1[[#This Row],[E Capacitor]]/(Vin^2-(Vin-V_ripple)^2)</f>
        <v>4.1460103806228402E-4</v>
      </c>
      <c r="M63" s="1">
        <f>Table1[[#This Row],[Energy/Cycle]]-(Table1[[#This Row],[E Capacitor]]+Table1[[#This Row],[Edc]])</f>
        <v>0</v>
      </c>
      <c r="N6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5.3818900994118808</v>
      </c>
    </row>
    <row r="64" spans="1:14" x14ac:dyDescent="0.25">
      <c r="A64">
        <v>0.28999999999999998</v>
      </c>
      <c r="B64">
        <f t="shared" si="1"/>
        <v>8.5259999999999998</v>
      </c>
      <c r="C64">
        <f>(Vin-Table1[[#This Row],[Vout]])*Table1[[#This Row],[Duty]]/(Frequency*Inductance)</f>
        <v>2.0178199999999999</v>
      </c>
      <c r="D64">
        <f>Irms-Table1[[#This Row],[Ripple Current (A)]]</f>
        <v>9.9821799999999996</v>
      </c>
      <c r="E64">
        <f>Irms+Table1[[#This Row],[Ripple Current (A)]]</f>
        <v>14.01782</v>
      </c>
      <c r="F64">
        <f>Table1[[#This Row],[Vout]]*(Table1[[#This Row],[Imin]]+Table1[[#This Row],[Ripple Current (A)]])</f>
        <v>102.312</v>
      </c>
      <c r="G64" s="1">
        <f>Table1[[#This Row],[Pout]]/Frequency</f>
        <v>1.7052000000000001E-2</v>
      </c>
      <c r="H64" s="1">
        <f>Table1[[#This Row],[Duty]]/Frequency</f>
        <v>4.8333333333333327E-5</v>
      </c>
      <c r="I64" s="1">
        <f>Table1[[#This Row],[Pout]]/Vin</f>
        <v>3.48</v>
      </c>
      <c r="J64" s="1">
        <f>Vin*Table1[[#This Row],[Idc]]*Table1[[#This Row],[Time On]]</f>
        <v>4.9450799999999993E-3</v>
      </c>
      <c r="K64" s="1">
        <f>Table1[[#This Row],[Energy/Cycle]]-Table1[[#This Row],[Edc]]</f>
        <v>1.2106920000000002E-2</v>
      </c>
      <c r="L64" s="1">
        <f>2*Table1[[#This Row],[E Capacitor]]/(Vin^2-(Vin-V_ripple)^2)</f>
        <v>4.1892456747404886E-4</v>
      </c>
      <c r="M64" s="1">
        <f>Table1[[#This Row],[Energy/Cycle]]-(Table1[[#This Row],[E Capacitor]]+Table1[[#This Row],[Edc]])</f>
        <v>0</v>
      </c>
      <c r="N6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5.4088827161070272</v>
      </c>
    </row>
    <row r="65" spans="1:14" x14ac:dyDescent="0.25">
      <c r="A65">
        <v>0.29499999999999998</v>
      </c>
      <c r="B65">
        <f t="shared" si="1"/>
        <v>8.6729999999999983</v>
      </c>
      <c r="C65">
        <f>(Vin-Table1[[#This Row],[Vout]])*Table1[[#This Row],[Duty]]/(Frequency*Inductance)</f>
        <v>2.0381550000000002</v>
      </c>
      <c r="D65">
        <f>Irms-Table1[[#This Row],[Ripple Current (A)]]</f>
        <v>9.9618450000000003</v>
      </c>
      <c r="E65">
        <f>Irms+Table1[[#This Row],[Ripple Current (A)]]</f>
        <v>14.038155</v>
      </c>
      <c r="F65">
        <f>Table1[[#This Row],[Vout]]*(Table1[[#This Row],[Imin]]+Table1[[#This Row],[Ripple Current (A)]])</f>
        <v>104.07599999999998</v>
      </c>
      <c r="G65" s="1">
        <f>Table1[[#This Row],[Pout]]/Frequency</f>
        <v>1.7345999999999997E-2</v>
      </c>
      <c r="H65" s="1">
        <f>Table1[[#This Row],[Duty]]/Frequency</f>
        <v>4.9166666666666665E-5</v>
      </c>
      <c r="I65" s="1">
        <f>Table1[[#This Row],[Pout]]/Vin</f>
        <v>3.5399999999999996</v>
      </c>
      <c r="J65" s="1">
        <f>Vin*Table1[[#This Row],[Idc]]*Table1[[#This Row],[Time On]]</f>
        <v>5.1170699999999987E-3</v>
      </c>
      <c r="K65" s="1">
        <f>Table1[[#This Row],[Energy/Cycle]]-Table1[[#This Row],[Edc]]</f>
        <v>1.2228929999999999E-2</v>
      </c>
      <c r="L65" s="1">
        <f>2*Table1[[#This Row],[E Capacitor]]/(Vin^2-(Vin-V_ripple)^2)</f>
        <v>4.2314636678200722E-4</v>
      </c>
      <c r="M65" s="1">
        <f>Table1[[#This Row],[Energy/Cycle]]-(Table1[[#This Row],[E Capacitor]]+Table1[[#This Row],[Edc]])</f>
        <v>0</v>
      </c>
      <c r="N6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5.4350635579789568</v>
      </c>
    </row>
    <row r="66" spans="1:14" x14ac:dyDescent="0.25">
      <c r="A66">
        <v>0.3</v>
      </c>
      <c r="B66">
        <f t="shared" si="1"/>
        <v>8.8199999999999985</v>
      </c>
      <c r="C66">
        <f>(Vin-Table1[[#This Row],[Vout]])*Table1[[#This Row],[Duty]]/(Frequency*Inductance)</f>
        <v>2.0579999999999998</v>
      </c>
      <c r="D66">
        <f>Irms-Table1[[#This Row],[Ripple Current (A)]]</f>
        <v>9.9420000000000002</v>
      </c>
      <c r="E66">
        <f>Irms+Table1[[#This Row],[Ripple Current (A)]]</f>
        <v>14.058</v>
      </c>
      <c r="F66">
        <f>Table1[[#This Row],[Vout]]*(Table1[[#This Row],[Imin]]+Table1[[#This Row],[Ripple Current (A)]])</f>
        <v>105.83999999999997</v>
      </c>
      <c r="G66" s="1">
        <f>Table1[[#This Row],[Pout]]/Frequency</f>
        <v>1.7639999999999996E-2</v>
      </c>
      <c r="H66" s="1">
        <f>Table1[[#This Row],[Duty]]/Frequency</f>
        <v>4.9999999999999996E-5</v>
      </c>
      <c r="I66" s="1">
        <f>Table1[[#This Row],[Pout]]/Vin</f>
        <v>3.5999999999999992</v>
      </c>
      <c r="J66" s="1">
        <f>Vin*Table1[[#This Row],[Idc]]*Table1[[#This Row],[Time On]]</f>
        <v>5.2919999999999981E-3</v>
      </c>
      <c r="K66" s="1">
        <f>Table1[[#This Row],[Energy/Cycle]]-Table1[[#This Row],[Edc]]</f>
        <v>1.2347999999999998E-2</v>
      </c>
      <c r="L66" s="1">
        <f>2*Table1[[#This Row],[E Capacitor]]/(Vin^2-(Vin-V_ripple)^2)</f>
        <v>4.2726643598615943E-4</v>
      </c>
      <c r="M66" s="1">
        <f>Table1[[#This Row],[Energy/Cycle]]-(Table1[[#This Row],[E Capacitor]]+Table1[[#This Row],[Edc]])</f>
        <v>0</v>
      </c>
      <c r="N6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5.4604453664513484</v>
      </c>
    </row>
    <row r="67" spans="1:14" x14ac:dyDescent="0.25">
      <c r="A67">
        <v>0.30499999999999999</v>
      </c>
      <c r="B67">
        <f t="shared" si="1"/>
        <v>8.9669999999999987</v>
      </c>
      <c r="C67">
        <f>(Vin-Table1[[#This Row],[Vout]])*Table1[[#This Row],[Duty]]/(Frequency*Inductance)</f>
        <v>2.0773549999999998</v>
      </c>
      <c r="D67">
        <f>Irms-Table1[[#This Row],[Ripple Current (A)]]</f>
        <v>9.9226449999999993</v>
      </c>
      <c r="E67">
        <f>Irms+Table1[[#This Row],[Ripple Current (A)]]</f>
        <v>14.077355000000001</v>
      </c>
      <c r="F67">
        <f>Table1[[#This Row],[Vout]]*(Table1[[#This Row],[Imin]]+Table1[[#This Row],[Ripple Current (A)]])</f>
        <v>107.60399999999998</v>
      </c>
      <c r="G67" s="1">
        <f>Table1[[#This Row],[Pout]]/Frequency</f>
        <v>1.7933999999999999E-2</v>
      </c>
      <c r="H67" s="1">
        <f>Table1[[#This Row],[Duty]]/Frequency</f>
        <v>5.0833333333333333E-5</v>
      </c>
      <c r="I67" s="1">
        <f>Table1[[#This Row],[Pout]]/Vin</f>
        <v>3.6599999999999997</v>
      </c>
      <c r="J67" s="1">
        <f>Vin*Table1[[#This Row],[Idc]]*Table1[[#This Row],[Time On]]</f>
        <v>5.4698699999999991E-3</v>
      </c>
      <c r="K67" s="1">
        <f>Table1[[#This Row],[Energy/Cycle]]-Table1[[#This Row],[Edc]]</f>
        <v>1.246413E-2</v>
      </c>
      <c r="L67" s="1">
        <f>2*Table1[[#This Row],[E Capacitor]]/(Vin^2-(Vin-V_ripple)^2)</f>
        <v>4.3128477508650554E-4</v>
      </c>
      <c r="M67" s="1">
        <f>Table1[[#This Row],[Energy/Cycle]]-(Table1[[#This Row],[E Capacitor]]+Table1[[#This Row],[Edc]])</f>
        <v>0</v>
      </c>
      <c r="N6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5.4850403171478561</v>
      </c>
    </row>
    <row r="68" spans="1:14" x14ac:dyDescent="0.25">
      <c r="A68">
        <v>0.31</v>
      </c>
      <c r="B68">
        <f t="shared" si="1"/>
        <v>9.113999999999999</v>
      </c>
      <c r="C68">
        <f>(Vin-Table1[[#This Row],[Vout]])*Table1[[#This Row],[Duty]]/(Frequency*Inductance)</f>
        <v>2.0962200000000002</v>
      </c>
      <c r="D68">
        <f>Irms-Table1[[#This Row],[Ripple Current (A)]]</f>
        <v>9.9037799999999994</v>
      </c>
      <c r="E68">
        <f>Irms+Table1[[#This Row],[Ripple Current (A)]]</f>
        <v>14.096220000000001</v>
      </c>
      <c r="F68">
        <f>Table1[[#This Row],[Vout]]*(Table1[[#This Row],[Imin]]+Table1[[#This Row],[Ripple Current (A)]])</f>
        <v>109.36799999999999</v>
      </c>
      <c r="G68" s="1">
        <f>Table1[[#This Row],[Pout]]/Frequency</f>
        <v>1.8227999999999998E-2</v>
      </c>
      <c r="H68" s="1">
        <f>Table1[[#This Row],[Duty]]/Frequency</f>
        <v>5.1666666666666664E-5</v>
      </c>
      <c r="I68" s="1">
        <f>Table1[[#This Row],[Pout]]/Vin</f>
        <v>3.72</v>
      </c>
      <c r="J68" s="1">
        <f>Vin*Table1[[#This Row],[Idc]]*Table1[[#This Row],[Time On]]</f>
        <v>5.6506799999999991E-3</v>
      </c>
      <c r="K68" s="1">
        <f>Table1[[#This Row],[Energy/Cycle]]-Table1[[#This Row],[Edc]]</f>
        <v>1.2577319999999999E-2</v>
      </c>
      <c r="L68" s="1">
        <f>2*Table1[[#This Row],[E Capacitor]]/(Vin^2-(Vin-V_ripple)^2)</f>
        <v>4.3520138408304529E-4</v>
      </c>
      <c r="M68" s="1">
        <f>Table1[[#This Row],[Energy/Cycle]]-(Table1[[#This Row],[E Capacitor]]+Table1[[#This Row],[Edc]])</f>
        <v>0</v>
      </c>
      <c r="N6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5.5088600493688338</v>
      </c>
    </row>
    <row r="69" spans="1:14" x14ac:dyDescent="0.25">
      <c r="A69">
        <v>0.315</v>
      </c>
      <c r="B69">
        <f t="shared" si="1"/>
        <v>9.2609999999999992</v>
      </c>
      <c r="C69">
        <f>(Vin-Table1[[#This Row],[Vout]])*Table1[[#This Row],[Duty]]/(Frequency*Inductance)</f>
        <v>2.114595</v>
      </c>
      <c r="D69">
        <f>Irms-Table1[[#This Row],[Ripple Current (A)]]</f>
        <v>9.8854050000000004</v>
      </c>
      <c r="E69">
        <f>Irms+Table1[[#This Row],[Ripple Current (A)]]</f>
        <v>14.114595</v>
      </c>
      <c r="F69">
        <f>Table1[[#This Row],[Vout]]*(Table1[[#This Row],[Imin]]+Table1[[#This Row],[Ripple Current (A)]])</f>
        <v>111.13199999999999</v>
      </c>
      <c r="G69" s="1">
        <f>Table1[[#This Row],[Pout]]/Frequency</f>
        <v>1.8521999999999997E-2</v>
      </c>
      <c r="H69" s="1">
        <f>Table1[[#This Row],[Duty]]/Frequency</f>
        <v>5.2500000000000002E-5</v>
      </c>
      <c r="I69" s="1">
        <f>Table1[[#This Row],[Pout]]/Vin</f>
        <v>3.78</v>
      </c>
      <c r="J69" s="1">
        <f>Vin*Table1[[#This Row],[Idc]]*Table1[[#This Row],[Time On]]</f>
        <v>5.8344299999999998E-3</v>
      </c>
      <c r="K69" s="1">
        <f>Table1[[#This Row],[Energy/Cycle]]-Table1[[#This Row],[Edc]]</f>
        <v>1.2687569999999997E-2</v>
      </c>
      <c r="L69" s="1">
        <f>2*Table1[[#This Row],[E Capacitor]]/(Vin^2-(Vin-V_ripple)^2)</f>
        <v>4.3901626297577877E-4</v>
      </c>
      <c r="M69" s="1">
        <f>Table1[[#This Row],[Energy/Cycle]]-(Table1[[#This Row],[E Capacitor]]+Table1[[#This Row],[Edc]])</f>
        <v>0</v>
      </c>
      <c r="N6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5.531915693367659</v>
      </c>
    </row>
    <row r="70" spans="1:14" x14ac:dyDescent="0.25">
      <c r="A70">
        <v>0.32</v>
      </c>
      <c r="B70">
        <f t="shared" si="1"/>
        <v>9.4079999999999995</v>
      </c>
      <c r="C70">
        <f>(Vin-Table1[[#This Row],[Vout]])*Table1[[#This Row],[Duty]]/(Frequency*Inductance)</f>
        <v>2.1324799999999997</v>
      </c>
      <c r="D70">
        <f>Irms-Table1[[#This Row],[Ripple Current (A)]]</f>
        <v>9.8675200000000007</v>
      </c>
      <c r="E70">
        <f>Irms+Table1[[#This Row],[Ripple Current (A)]]</f>
        <v>14.132479999999999</v>
      </c>
      <c r="F70">
        <f>Table1[[#This Row],[Vout]]*(Table1[[#This Row],[Imin]]+Table1[[#This Row],[Ripple Current (A)]])</f>
        <v>112.89599999999999</v>
      </c>
      <c r="G70" s="1">
        <f>Table1[[#This Row],[Pout]]/Frequency</f>
        <v>1.8815999999999999E-2</v>
      </c>
      <c r="H70" s="1">
        <f>Table1[[#This Row],[Duty]]/Frequency</f>
        <v>5.3333333333333333E-5</v>
      </c>
      <c r="I70" s="1">
        <f>Table1[[#This Row],[Pout]]/Vin</f>
        <v>3.84</v>
      </c>
      <c r="J70" s="1">
        <f>Vin*Table1[[#This Row],[Idc]]*Table1[[#This Row],[Time On]]</f>
        <v>6.0211199999999996E-3</v>
      </c>
      <c r="K70" s="1">
        <f>Table1[[#This Row],[Energy/Cycle]]-Table1[[#This Row],[Edc]]</f>
        <v>1.279488E-2</v>
      </c>
      <c r="L70" s="1">
        <f>2*Table1[[#This Row],[E Capacitor]]/(Vin^2-(Vin-V_ripple)^2)</f>
        <v>4.427294117647062E-4</v>
      </c>
      <c r="M70" s="1">
        <f>Table1[[#This Row],[Energy/Cycle]]-(Table1[[#This Row],[E Capacitor]]+Table1[[#This Row],[Edc]])</f>
        <v>0</v>
      </c>
      <c r="N7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5.5542178956138679</v>
      </c>
    </row>
    <row r="71" spans="1:14" x14ac:dyDescent="0.25">
      <c r="A71">
        <v>0.32500000000000001</v>
      </c>
      <c r="B71">
        <f t="shared" ref="B71:B102" si="2">A71*Vin</f>
        <v>9.5549999999999997</v>
      </c>
      <c r="C71">
        <f>(Vin-Table1[[#This Row],[Vout]])*Table1[[#This Row],[Duty]]/(Frequency*Inductance)</f>
        <v>2.1498750000000002</v>
      </c>
      <c r="D71">
        <f>Irms-Table1[[#This Row],[Ripple Current (A)]]</f>
        <v>9.8501250000000002</v>
      </c>
      <c r="E71">
        <f>Irms+Table1[[#This Row],[Ripple Current (A)]]</f>
        <v>14.149875</v>
      </c>
      <c r="F71">
        <f>Table1[[#This Row],[Vout]]*(Table1[[#This Row],[Imin]]+Table1[[#This Row],[Ripple Current (A)]])</f>
        <v>114.66</v>
      </c>
      <c r="G71" s="1">
        <f>Table1[[#This Row],[Pout]]/Frequency</f>
        <v>1.9109999999999999E-2</v>
      </c>
      <c r="H71" s="1">
        <f>Table1[[#This Row],[Duty]]/Frequency</f>
        <v>5.4166666666666671E-5</v>
      </c>
      <c r="I71" s="1">
        <f>Table1[[#This Row],[Pout]]/Vin</f>
        <v>3.9</v>
      </c>
      <c r="J71" s="1">
        <f>Vin*Table1[[#This Row],[Idc]]*Table1[[#This Row],[Time On]]</f>
        <v>6.2107500000000001E-3</v>
      </c>
      <c r="K71" s="1">
        <f>Table1[[#This Row],[Energy/Cycle]]-Table1[[#This Row],[Edc]]</f>
        <v>1.2899249999999998E-2</v>
      </c>
      <c r="L71" s="1">
        <f>2*Table1[[#This Row],[E Capacitor]]/(Vin^2-(Vin-V_ripple)^2)</f>
        <v>4.4634083044982727E-4</v>
      </c>
      <c r="M71" s="1">
        <f>Table1[[#This Row],[Energy/Cycle]]-(Table1[[#This Row],[E Capacitor]]+Table1[[#This Row],[Edc]])</f>
        <v>0</v>
      </c>
      <c r="N7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5.5757768422113729</v>
      </c>
    </row>
    <row r="72" spans="1:14" x14ac:dyDescent="0.25">
      <c r="A72">
        <v>0.33</v>
      </c>
      <c r="B72">
        <f t="shared" si="2"/>
        <v>9.702</v>
      </c>
      <c r="C72">
        <f>(Vin-Table1[[#This Row],[Vout]])*Table1[[#This Row],[Duty]]/(Frequency*Inductance)</f>
        <v>2.1667800000000002</v>
      </c>
      <c r="D72">
        <f>Irms-Table1[[#This Row],[Ripple Current (A)]]</f>
        <v>9.8332200000000007</v>
      </c>
      <c r="E72">
        <f>Irms+Table1[[#This Row],[Ripple Current (A)]]</f>
        <v>14.166779999999999</v>
      </c>
      <c r="F72">
        <f>Table1[[#This Row],[Vout]]*(Table1[[#This Row],[Imin]]+Table1[[#This Row],[Ripple Current (A)]])</f>
        <v>116.42400000000001</v>
      </c>
      <c r="G72" s="1">
        <f>Table1[[#This Row],[Pout]]/Frequency</f>
        <v>1.9404000000000001E-2</v>
      </c>
      <c r="H72" s="1">
        <f>Table1[[#This Row],[Duty]]/Frequency</f>
        <v>5.5000000000000002E-5</v>
      </c>
      <c r="I72" s="1">
        <f>Table1[[#This Row],[Pout]]/Vin</f>
        <v>3.9600000000000004</v>
      </c>
      <c r="J72" s="1">
        <f>Vin*Table1[[#This Row],[Idc]]*Table1[[#This Row],[Time On]]</f>
        <v>6.4033200000000005E-3</v>
      </c>
      <c r="K72" s="1">
        <f>Table1[[#This Row],[Energy/Cycle]]-Table1[[#This Row],[Edc]]</f>
        <v>1.3000680000000001E-2</v>
      </c>
      <c r="L72" s="1">
        <f>2*Table1[[#This Row],[E Capacitor]]/(Vin^2-(Vin-V_ripple)^2)</f>
        <v>4.4985051903114224E-4</v>
      </c>
      <c r="M72" s="1">
        <f>Table1[[#This Row],[Energy/Cycle]]-(Table1[[#This Row],[E Capacitor]]+Table1[[#This Row],[Edc]])</f>
        <v>0</v>
      </c>
      <c r="N7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5.5966022806231281</v>
      </c>
    </row>
    <row r="73" spans="1:14" x14ac:dyDescent="0.25">
      <c r="A73">
        <v>0.33500000000000002</v>
      </c>
      <c r="B73">
        <f t="shared" si="2"/>
        <v>9.8490000000000002</v>
      </c>
      <c r="C73">
        <f>(Vin-Table1[[#This Row],[Vout]])*Table1[[#This Row],[Duty]]/(Frequency*Inductance)</f>
        <v>2.183195</v>
      </c>
      <c r="D73">
        <f>Irms-Table1[[#This Row],[Ripple Current (A)]]</f>
        <v>9.8168050000000004</v>
      </c>
      <c r="E73">
        <f>Irms+Table1[[#This Row],[Ripple Current (A)]]</f>
        <v>14.183195</v>
      </c>
      <c r="F73">
        <f>Table1[[#This Row],[Vout]]*(Table1[[#This Row],[Imin]]+Table1[[#This Row],[Ripple Current (A)]])</f>
        <v>118.188</v>
      </c>
      <c r="G73" s="1">
        <f>Table1[[#This Row],[Pout]]/Frequency</f>
        <v>1.9698E-2</v>
      </c>
      <c r="H73" s="1">
        <f>Table1[[#This Row],[Duty]]/Frequency</f>
        <v>5.583333333333334E-5</v>
      </c>
      <c r="I73" s="1">
        <f>Table1[[#This Row],[Pout]]/Vin</f>
        <v>4.0200000000000005</v>
      </c>
      <c r="J73" s="1">
        <f>Vin*Table1[[#This Row],[Idc]]*Table1[[#This Row],[Time On]]</f>
        <v>6.5988300000000008E-3</v>
      </c>
      <c r="K73" s="1">
        <f>Table1[[#This Row],[Energy/Cycle]]-Table1[[#This Row],[Edc]]</f>
        <v>1.309917E-2</v>
      </c>
      <c r="L73" s="1">
        <f>2*Table1[[#This Row],[E Capacitor]]/(Vin^2-(Vin-V_ripple)^2)</f>
        <v>4.532584775086509E-4</v>
      </c>
      <c r="M73" s="1">
        <f>Table1[[#This Row],[Energy/Cycle]]-(Table1[[#This Row],[E Capacitor]]+Table1[[#This Row],[Edc]])</f>
        <v>0</v>
      </c>
      <c r="N7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5.6167035398387561</v>
      </c>
    </row>
    <row r="74" spans="1:14" x14ac:dyDescent="0.25">
      <c r="A74">
        <v>0.34</v>
      </c>
      <c r="B74">
        <f t="shared" si="2"/>
        <v>9.9960000000000004</v>
      </c>
      <c r="C74">
        <f>(Vin-Table1[[#This Row],[Vout]])*Table1[[#This Row],[Duty]]/(Frequency*Inductance)</f>
        <v>2.1991199999999997</v>
      </c>
      <c r="D74">
        <f>Irms-Table1[[#This Row],[Ripple Current (A)]]</f>
        <v>9.8008799999999994</v>
      </c>
      <c r="E74">
        <f>Irms+Table1[[#This Row],[Ripple Current (A)]]</f>
        <v>14.199120000000001</v>
      </c>
      <c r="F74">
        <f>Table1[[#This Row],[Vout]]*(Table1[[#This Row],[Imin]]+Table1[[#This Row],[Ripple Current (A)]])</f>
        <v>119.952</v>
      </c>
      <c r="G74" s="1">
        <f>Table1[[#This Row],[Pout]]/Frequency</f>
        <v>1.9991999999999999E-2</v>
      </c>
      <c r="H74" s="1">
        <f>Table1[[#This Row],[Duty]]/Frequency</f>
        <v>5.6666666666666671E-5</v>
      </c>
      <c r="I74" s="1">
        <f>Table1[[#This Row],[Pout]]/Vin</f>
        <v>4.08</v>
      </c>
      <c r="J74" s="1">
        <f>Vin*Table1[[#This Row],[Idc]]*Table1[[#This Row],[Time On]]</f>
        <v>6.7972800000000002E-3</v>
      </c>
      <c r="K74" s="1">
        <f>Table1[[#This Row],[Energy/Cycle]]-Table1[[#This Row],[Edc]]</f>
        <v>1.319472E-2</v>
      </c>
      <c r="L74" s="1">
        <f>2*Table1[[#This Row],[E Capacitor]]/(Vin^2-(Vin-V_ripple)^2)</f>
        <v>4.5656470588235329E-4</v>
      </c>
      <c r="M74" s="1">
        <f>Table1[[#This Row],[Energy/Cycle]]-(Table1[[#This Row],[E Capacitor]]+Table1[[#This Row],[Edc]])</f>
        <v>0</v>
      </c>
      <c r="N7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5.6360895491083172</v>
      </c>
    </row>
    <row r="75" spans="1:14" x14ac:dyDescent="0.25">
      <c r="A75">
        <v>0.34499999999999997</v>
      </c>
      <c r="B75">
        <f t="shared" si="2"/>
        <v>10.142999999999999</v>
      </c>
      <c r="C75">
        <f>(Vin-Table1[[#This Row],[Vout]])*Table1[[#This Row],[Duty]]/(Frequency*Inductance)</f>
        <v>2.2145549999999994</v>
      </c>
      <c r="D75">
        <f>Irms-Table1[[#This Row],[Ripple Current (A)]]</f>
        <v>9.7854450000000011</v>
      </c>
      <c r="E75">
        <f>Irms+Table1[[#This Row],[Ripple Current (A)]]</f>
        <v>14.214554999999999</v>
      </c>
      <c r="F75">
        <f>Table1[[#This Row],[Vout]]*(Table1[[#This Row],[Imin]]+Table1[[#This Row],[Ripple Current (A)]])</f>
        <v>121.71599999999998</v>
      </c>
      <c r="G75" s="1">
        <f>Table1[[#This Row],[Pout]]/Frequency</f>
        <v>2.0285999999999995E-2</v>
      </c>
      <c r="H75" s="1">
        <f>Table1[[#This Row],[Duty]]/Frequency</f>
        <v>5.7499999999999995E-5</v>
      </c>
      <c r="I75" s="1">
        <f>Table1[[#This Row],[Pout]]/Vin</f>
        <v>4.1399999999999997</v>
      </c>
      <c r="J75" s="1">
        <f>Vin*Table1[[#This Row],[Idc]]*Table1[[#This Row],[Time On]]</f>
        <v>6.9986699999999985E-3</v>
      </c>
      <c r="K75" s="1">
        <f>Table1[[#This Row],[Energy/Cycle]]-Table1[[#This Row],[Edc]]</f>
        <v>1.3287329999999997E-2</v>
      </c>
      <c r="L75" s="1">
        <f>2*Table1[[#This Row],[E Capacitor]]/(Vin^2-(Vin-V_ripple)^2)</f>
        <v>4.5976920415224937E-4</v>
      </c>
      <c r="M75" s="1">
        <f>Table1[[#This Row],[Energy/Cycle]]-(Table1[[#This Row],[E Capacitor]]+Table1[[#This Row],[Edc]])</f>
        <v>0</v>
      </c>
      <c r="N7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5.6547688553536055</v>
      </c>
    </row>
    <row r="76" spans="1:14" x14ac:dyDescent="0.25">
      <c r="A76">
        <v>0.35</v>
      </c>
      <c r="B76">
        <f t="shared" si="2"/>
        <v>10.29</v>
      </c>
      <c r="C76">
        <f>(Vin-Table1[[#This Row],[Vout]])*Table1[[#This Row],[Duty]]/(Frequency*Inductance)</f>
        <v>2.2294999999999998</v>
      </c>
      <c r="D76">
        <f>Irms-Table1[[#This Row],[Ripple Current (A)]]</f>
        <v>9.7705000000000002</v>
      </c>
      <c r="E76">
        <f>Irms+Table1[[#This Row],[Ripple Current (A)]]</f>
        <v>14.2295</v>
      </c>
      <c r="F76">
        <f>Table1[[#This Row],[Vout]]*(Table1[[#This Row],[Imin]]+Table1[[#This Row],[Ripple Current (A)]])</f>
        <v>123.47999999999999</v>
      </c>
      <c r="G76" s="1">
        <f>Table1[[#This Row],[Pout]]/Frequency</f>
        <v>2.0579999999999998E-2</v>
      </c>
      <c r="H76" s="1">
        <f>Table1[[#This Row],[Duty]]/Frequency</f>
        <v>5.8333333333333333E-5</v>
      </c>
      <c r="I76" s="1">
        <f>Table1[[#This Row],[Pout]]/Vin</f>
        <v>4.2</v>
      </c>
      <c r="J76" s="1">
        <f>Vin*Table1[[#This Row],[Idc]]*Table1[[#This Row],[Time On]]</f>
        <v>7.2030000000000002E-3</v>
      </c>
      <c r="K76" s="1">
        <f>Table1[[#This Row],[Energy/Cycle]]-Table1[[#This Row],[Edc]]</f>
        <v>1.3376999999999997E-2</v>
      </c>
      <c r="L76" s="1">
        <f>2*Table1[[#This Row],[E Capacitor]]/(Vin^2-(Vin-V_ripple)^2)</f>
        <v>4.6287197231833935E-4</v>
      </c>
      <c r="M76" s="1">
        <f>Table1[[#This Row],[Energy/Cycle]]-(Table1[[#This Row],[E Capacitor]]+Table1[[#This Row],[Edc]])</f>
        <v>0</v>
      </c>
      <c r="N7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5.672749639357737</v>
      </c>
    </row>
    <row r="77" spans="1:14" x14ac:dyDescent="0.25">
      <c r="A77">
        <v>0.35499999999999998</v>
      </c>
      <c r="B77">
        <f t="shared" si="2"/>
        <v>10.436999999999999</v>
      </c>
      <c r="C77">
        <f>(Vin-Table1[[#This Row],[Vout]])*Table1[[#This Row],[Duty]]/(Frequency*Inductance)</f>
        <v>2.2439550000000001</v>
      </c>
      <c r="D77">
        <f>Irms-Table1[[#This Row],[Ripple Current (A)]]</f>
        <v>9.7560450000000003</v>
      </c>
      <c r="E77">
        <f>Irms+Table1[[#This Row],[Ripple Current (A)]]</f>
        <v>14.243955</v>
      </c>
      <c r="F77">
        <f>Table1[[#This Row],[Vout]]*(Table1[[#This Row],[Imin]]+Table1[[#This Row],[Ripple Current (A)]])</f>
        <v>125.244</v>
      </c>
      <c r="G77" s="1">
        <f>Table1[[#This Row],[Pout]]/Frequency</f>
        <v>2.0874E-2</v>
      </c>
      <c r="H77" s="1">
        <f>Table1[[#This Row],[Duty]]/Frequency</f>
        <v>5.9166666666666664E-5</v>
      </c>
      <c r="I77" s="1">
        <f>Table1[[#This Row],[Pout]]/Vin</f>
        <v>4.26</v>
      </c>
      <c r="J77" s="1">
        <f>Vin*Table1[[#This Row],[Idc]]*Table1[[#This Row],[Time On]]</f>
        <v>7.4102699999999992E-3</v>
      </c>
      <c r="K77" s="1">
        <f>Table1[[#This Row],[Energy/Cycle]]-Table1[[#This Row],[Edc]]</f>
        <v>1.346373E-2</v>
      </c>
      <c r="L77" s="1">
        <f>2*Table1[[#This Row],[E Capacitor]]/(Vin^2-(Vin-V_ripple)^2)</f>
        <v>4.6587301038062323E-4</v>
      </c>
      <c r="M77" s="1">
        <f>Table1[[#This Row],[Energy/Cycle]]-(Table1[[#This Row],[E Capacitor]]+Table1[[#This Row],[Edc]])</f>
        <v>0</v>
      </c>
      <c r="N7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5.6900397308244139</v>
      </c>
    </row>
    <row r="78" spans="1:14" x14ac:dyDescent="0.25">
      <c r="A78">
        <v>0.36</v>
      </c>
      <c r="B78">
        <f t="shared" si="2"/>
        <v>10.584</v>
      </c>
      <c r="C78">
        <f>(Vin-Table1[[#This Row],[Vout]])*Table1[[#This Row],[Duty]]/(Frequency*Inductance)</f>
        <v>2.2579199999999999</v>
      </c>
      <c r="D78">
        <f>Irms-Table1[[#This Row],[Ripple Current (A)]]</f>
        <v>9.7420799999999996</v>
      </c>
      <c r="E78">
        <f>Irms+Table1[[#This Row],[Ripple Current (A)]]</f>
        <v>14.25792</v>
      </c>
      <c r="F78">
        <f>Table1[[#This Row],[Vout]]*(Table1[[#This Row],[Imin]]+Table1[[#This Row],[Ripple Current (A)]])</f>
        <v>127.008</v>
      </c>
      <c r="G78" s="1">
        <f>Table1[[#This Row],[Pout]]/Frequency</f>
        <v>2.1167999999999999E-2</v>
      </c>
      <c r="H78" s="1">
        <f>Table1[[#This Row],[Duty]]/Frequency</f>
        <v>5.9999999999999995E-5</v>
      </c>
      <c r="I78" s="1">
        <f>Table1[[#This Row],[Pout]]/Vin</f>
        <v>4.32</v>
      </c>
      <c r="J78" s="1">
        <f>Vin*Table1[[#This Row],[Idc]]*Table1[[#This Row],[Time On]]</f>
        <v>7.6204799999999989E-3</v>
      </c>
      <c r="K78" s="1">
        <f>Table1[[#This Row],[Energy/Cycle]]-Table1[[#This Row],[Edc]]</f>
        <v>1.354752E-2</v>
      </c>
      <c r="L78" s="1">
        <f>2*Table1[[#This Row],[E Capacitor]]/(Vin^2-(Vin-V_ripple)^2)</f>
        <v>4.6877231833910074E-4</v>
      </c>
      <c r="M78" s="1">
        <f>Table1[[#This Row],[Energy/Cycle]]-(Table1[[#This Row],[E Capacitor]]+Table1[[#This Row],[Edc]])</f>
        <v>0</v>
      </c>
      <c r="N7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5.7066466223897203</v>
      </c>
    </row>
    <row r="79" spans="1:14" x14ac:dyDescent="0.25">
      <c r="A79">
        <v>0.36499999999999999</v>
      </c>
      <c r="B79">
        <f t="shared" si="2"/>
        <v>10.731</v>
      </c>
      <c r="C79">
        <f>(Vin-Table1[[#This Row],[Vout]])*Table1[[#This Row],[Duty]]/(Frequency*Inductance)</f>
        <v>2.2713949999999996</v>
      </c>
      <c r="D79">
        <f>Irms-Table1[[#This Row],[Ripple Current (A)]]</f>
        <v>9.7286049999999999</v>
      </c>
      <c r="E79">
        <f>Irms+Table1[[#This Row],[Ripple Current (A)]]</f>
        <v>14.271395</v>
      </c>
      <c r="F79">
        <f>Table1[[#This Row],[Vout]]*(Table1[[#This Row],[Imin]]+Table1[[#This Row],[Ripple Current (A)]])</f>
        <v>128.77199999999999</v>
      </c>
      <c r="G79" s="1">
        <f>Table1[[#This Row],[Pout]]/Frequency</f>
        <v>2.1461999999999998E-2</v>
      </c>
      <c r="H79" s="1">
        <f>Table1[[#This Row],[Duty]]/Frequency</f>
        <v>6.0833333333333333E-5</v>
      </c>
      <c r="I79" s="1">
        <f>Table1[[#This Row],[Pout]]/Vin</f>
        <v>4.38</v>
      </c>
      <c r="J79" s="1">
        <f>Vin*Table1[[#This Row],[Idc]]*Table1[[#This Row],[Time On]]</f>
        <v>7.8336299999999994E-3</v>
      </c>
      <c r="K79" s="1">
        <f>Table1[[#This Row],[Energy/Cycle]]-Table1[[#This Row],[Edc]]</f>
        <v>1.3628369999999999E-2</v>
      </c>
      <c r="L79" s="1">
        <f>2*Table1[[#This Row],[E Capacitor]]/(Vin^2-(Vin-V_ripple)^2)</f>
        <v>4.7156989619377194E-4</v>
      </c>
      <c r="M79" s="1">
        <f>Table1[[#This Row],[Energy/Cycle]]-(Table1[[#This Row],[E Capacitor]]+Table1[[#This Row],[Edc]])</f>
        <v>0</v>
      </c>
      <c r="N7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5.7225774826617206</v>
      </c>
    </row>
    <row r="80" spans="1:14" x14ac:dyDescent="0.25">
      <c r="A80">
        <v>0.37</v>
      </c>
      <c r="B80">
        <f t="shared" si="2"/>
        <v>10.878</v>
      </c>
      <c r="C80">
        <f>(Vin-Table1[[#This Row],[Vout]])*Table1[[#This Row],[Duty]]/(Frequency*Inductance)</f>
        <v>2.2843800000000001</v>
      </c>
      <c r="D80">
        <f>Irms-Table1[[#This Row],[Ripple Current (A)]]</f>
        <v>9.7156199999999995</v>
      </c>
      <c r="E80">
        <f>Irms+Table1[[#This Row],[Ripple Current (A)]]</f>
        <v>14.284380000000001</v>
      </c>
      <c r="F80">
        <f>Table1[[#This Row],[Vout]]*(Table1[[#This Row],[Imin]]+Table1[[#This Row],[Ripple Current (A)]])</f>
        <v>130.536</v>
      </c>
      <c r="G80" s="1">
        <f>Table1[[#This Row],[Pout]]/Frequency</f>
        <v>2.1756000000000001E-2</v>
      </c>
      <c r="H80" s="1">
        <f>Table1[[#This Row],[Duty]]/Frequency</f>
        <v>6.166666666666667E-5</v>
      </c>
      <c r="I80" s="1">
        <f>Table1[[#This Row],[Pout]]/Vin</f>
        <v>4.4400000000000004</v>
      </c>
      <c r="J80" s="1">
        <f>Vin*Table1[[#This Row],[Idc]]*Table1[[#This Row],[Time On]]</f>
        <v>8.0497199999999998E-3</v>
      </c>
      <c r="K80" s="1">
        <f>Table1[[#This Row],[Energy/Cycle]]-Table1[[#This Row],[Edc]]</f>
        <v>1.3706280000000001E-2</v>
      </c>
      <c r="L80" s="1">
        <f>2*Table1[[#This Row],[E Capacitor]]/(Vin^2-(Vin-V_ripple)^2)</f>
        <v>4.742657439446371E-4</v>
      </c>
      <c r="M80" s="1">
        <f>Table1[[#This Row],[Energy/Cycle]]-(Table1[[#This Row],[E Capacitor]]+Table1[[#This Row],[Edc]])</f>
        <v>0</v>
      </c>
      <c r="N8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5.7378391683563237</v>
      </c>
    </row>
    <row r="81" spans="1:14" x14ac:dyDescent="0.25">
      <c r="A81">
        <v>0.375</v>
      </c>
      <c r="B81">
        <f t="shared" si="2"/>
        <v>11.024999999999999</v>
      </c>
      <c r="C81">
        <f>(Vin-Table1[[#This Row],[Vout]])*Table1[[#This Row],[Duty]]/(Frequency*Inductance)</f>
        <v>2.296875</v>
      </c>
      <c r="D81">
        <f>Irms-Table1[[#This Row],[Ripple Current (A)]]</f>
        <v>9.703125</v>
      </c>
      <c r="E81">
        <f>Irms+Table1[[#This Row],[Ripple Current (A)]]</f>
        <v>14.296875</v>
      </c>
      <c r="F81">
        <f>Table1[[#This Row],[Vout]]*(Table1[[#This Row],[Imin]]+Table1[[#This Row],[Ripple Current (A)]])</f>
        <v>132.29999999999998</v>
      </c>
      <c r="G81" s="1">
        <f>Table1[[#This Row],[Pout]]/Frequency</f>
        <v>2.2049999999999997E-2</v>
      </c>
      <c r="H81" s="1">
        <f>Table1[[#This Row],[Duty]]/Frequency</f>
        <v>6.2500000000000001E-5</v>
      </c>
      <c r="I81" s="1">
        <f>Table1[[#This Row],[Pout]]/Vin</f>
        <v>4.5</v>
      </c>
      <c r="J81" s="1">
        <f>Vin*Table1[[#This Row],[Idc]]*Table1[[#This Row],[Time On]]</f>
        <v>8.2687499999999983E-3</v>
      </c>
      <c r="K81" s="1">
        <f>Table1[[#This Row],[Energy/Cycle]]-Table1[[#This Row],[Edc]]</f>
        <v>1.3781249999999998E-2</v>
      </c>
      <c r="L81" s="1">
        <f>2*Table1[[#This Row],[E Capacitor]]/(Vin^2-(Vin-V_ripple)^2)</f>
        <v>4.7685986159169583E-4</v>
      </c>
      <c r="M81" s="1">
        <f>Table1[[#This Row],[Energy/Cycle]]-(Table1[[#This Row],[E Capacitor]]+Table1[[#This Row],[Edc]])</f>
        <v>0</v>
      </c>
      <c r="N8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5.7524382355916588</v>
      </c>
    </row>
    <row r="82" spans="1:14" x14ac:dyDescent="0.25">
      <c r="A82">
        <v>0.38</v>
      </c>
      <c r="B82">
        <f t="shared" si="2"/>
        <v>11.171999999999999</v>
      </c>
      <c r="C82">
        <f>(Vin-Table1[[#This Row],[Vout]])*Table1[[#This Row],[Duty]]/(Frequency*Inductance)</f>
        <v>2.3088800000000003</v>
      </c>
      <c r="D82">
        <f>Irms-Table1[[#This Row],[Ripple Current (A)]]</f>
        <v>9.6911199999999997</v>
      </c>
      <c r="E82">
        <f>Irms+Table1[[#This Row],[Ripple Current (A)]]</f>
        <v>14.30888</v>
      </c>
      <c r="F82">
        <f>Table1[[#This Row],[Vout]]*(Table1[[#This Row],[Imin]]+Table1[[#This Row],[Ripple Current (A)]])</f>
        <v>134.06399999999999</v>
      </c>
      <c r="G82" s="1">
        <f>Table1[[#This Row],[Pout]]/Frequency</f>
        <v>2.2343999999999999E-2</v>
      </c>
      <c r="H82" s="1">
        <f>Table1[[#This Row],[Duty]]/Frequency</f>
        <v>6.3333333333333332E-5</v>
      </c>
      <c r="I82" s="1">
        <f>Table1[[#This Row],[Pout]]/Vin</f>
        <v>4.5599999999999996</v>
      </c>
      <c r="J82" s="1">
        <f>Vin*Table1[[#This Row],[Idc]]*Table1[[#This Row],[Time On]]</f>
        <v>8.4907200000000002E-3</v>
      </c>
      <c r="K82" s="1">
        <f>Table1[[#This Row],[Energy/Cycle]]-Table1[[#This Row],[Edc]]</f>
        <v>1.3853279999999999E-2</v>
      </c>
      <c r="L82" s="1">
        <f>2*Table1[[#This Row],[E Capacitor]]/(Vin^2-(Vin-V_ripple)^2)</f>
        <v>4.7935224913494846E-4</v>
      </c>
      <c r="M82" s="1">
        <f>Table1[[#This Row],[Energy/Cycle]]-(Table1[[#This Row],[E Capacitor]]+Table1[[#This Row],[Edc]])</f>
        <v>0</v>
      </c>
      <c r="N8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5.7663809503976875</v>
      </c>
    </row>
    <row r="83" spans="1:14" x14ac:dyDescent="0.25">
      <c r="A83">
        <v>0.38500000000000001</v>
      </c>
      <c r="B83">
        <f t="shared" si="2"/>
        <v>11.318999999999999</v>
      </c>
      <c r="C83">
        <f>(Vin-Table1[[#This Row],[Vout]])*Table1[[#This Row],[Duty]]/(Frequency*Inductance)</f>
        <v>2.320395</v>
      </c>
      <c r="D83">
        <f>Irms-Table1[[#This Row],[Ripple Current (A)]]</f>
        <v>9.6796050000000005</v>
      </c>
      <c r="E83">
        <f>Irms+Table1[[#This Row],[Ripple Current (A)]]</f>
        <v>14.320395</v>
      </c>
      <c r="F83">
        <f>Table1[[#This Row],[Vout]]*(Table1[[#This Row],[Imin]]+Table1[[#This Row],[Ripple Current (A)]])</f>
        <v>135.82799999999997</v>
      </c>
      <c r="G83" s="1">
        <f>Table1[[#This Row],[Pout]]/Frequency</f>
        <v>2.2637999999999995E-2</v>
      </c>
      <c r="H83" s="1">
        <f>Table1[[#This Row],[Duty]]/Frequency</f>
        <v>6.4166666666666663E-5</v>
      </c>
      <c r="I83" s="1">
        <f>Table1[[#This Row],[Pout]]/Vin</f>
        <v>4.6199999999999992</v>
      </c>
      <c r="J83" s="1">
        <f>Vin*Table1[[#This Row],[Idc]]*Table1[[#This Row],[Time On]]</f>
        <v>8.7156299999999985E-3</v>
      </c>
      <c r="K83" s="1">
        <f>Table1[[#This Row],[Energy/Cycle]]-Table1[[#This Row],[Edc]]</f>
        <v>1.3922369999999996E-2</v>
      </c>
      <c r="L83" s="1">
        <f>2*Table1[[#This Row],[E Capacitor]]/(Vin^2-(Vin-V_ripple)^2)</f>
        <v>4.8174290657439472E-4</v>
      </c>
      <c r="M83" s="1">
        <f>Table1[[#This Row],[Energy/Cycle]]-(Table1[[#This Row],[E Capacitor]]+Table1[[#This Row],[Edc]])</f>
        <v>0</v>
      </c>
      <c r="N8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5.7796732984927557</v>
      </c>
    </row>
    <row r="84" spans="1:14" x14ac:dyDescent="0.25">
      <c r="A84">
        <v>0.39</v>
      </c>
      <c r="B84">
        <f t="shared" si="2"/>
        <v>11.465999999999999</v>
      </c>
      <c r="C84">
        <f>(Vin-Table1[[#This Row],[Vout]])*Table1[[#This Row],[Duty]]/(Frequency*Inductance)</f>
        <v>2.33142</v>
      </c>
      <c r="D84">
        <f>Irms-Table1[[#This Row],[Ripple Current (A)]]</f>
        <v>9.6685800000000004</v>
      </c>
      <c r="E84">
        <f>Irms+Table1[[#This Row],[Ripple Current (A)]]</f>
        <v>14.33142</v>
      </c>
      <c r="F84">
        <f>Table1[[#This Row],[Vout]]*(Table1[[#This Row],[Imin]]+Table1[[#This Row],[Ripple Current (A)]])</f>
        <v>137.59199999999998</v>
      </c>
      <c r="G84" s="1">
        <f>Table1[[#This Row],[Pout]]/Frequency</f>
        <v>2.2931999999999998E-2</v>
      </c>
      <c r="H84" s="1">
        <f>Table1[[#This Row],[Duty]]/Frequency</f>
        <v>6.5000000000000008E-5</v>
      </c>
      <c r="I84" s="1">
        <f>Table1[[#This Row],[Pout]]/Vin</f>
        <v>4.68</v>
      </c>
      <c r="J84" s="1">
        <f>Vin*Table1[[#This Row],[Idc]]*Table1[[#This Row],[Time On]]</f>
        <v>8.9434800000000002E-3</v>
      </c>
      <c r="K84" s="1">
        <f>Table1[[#This Row],[Energy/Cycle]]-Table1[[#This Row],[Edc]]</f>
        <v>1.3988519999999997E-2</v>
      </c>
      <c r="L84" s="1">
        <f>2*Table1[[#This Row],[E Capacitor]]/(Vin^2-(Vin-V_ripple)^2)</f>
        <v>4.8403183391003488E-4</v>
      </c>
      <c r="M84" s="1">
        <f>Table1[[#This Row],[Energy/Cycle]]-(Table1[[#This Row],[E Capacitor]]+Table1[[#This Row],[Edc]])</f>
        <v>0</v>
      </c>
      <c r="N8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5.7923209943741902</v>
      </c>
    </row>
    <row r="85" spans="1:14" x14ac:dyDescent="0.25">
      <c r="A85">
        <v>0.39500000000000002</v>
      </c>
      <c r="B85">
        <f t="shared" si="2"/>
        <v>11.613</v>
      </c>
      <c r="C85">
        <f>(Vin-Table1[[#This Row],[Vout]])*Table1[[#This Row],[Duty]]/(Frequency*Inductance)</f>
        <v>2.341955</v>
      </c>
      <c r="D85">
        <f>Irms-Table1[[#This Row],[Ripple Current (A)]]</f>
        <v>9.6580449999999995</v>
      </c>
      <c r="E85">
        <f>Irms+Table1[[#This Row],[Ripple Current (A)]]</f>
        <v>14.341955</v>
      </c>
      <c r="F85">
        <f>Table1[[#This Row],[Vout]]*(Table1[[#This Row],[Imin]]+Table1[[#This Row],[Ripple Current (A)]])</f>
        <v>139.35599999999999</v>
      </c>
      <c r="G85" s="1">
        <f>Table1[[#This Row],[Pout]]/Frequency</f>
        <v>2.3226E-2</v>
      </c>
      <c r="H85" s="1">
        <f>Table1[[#This Row],[Duty]]/Frequency</f>
        <v>6.5833333333333339E-5</v>
      </c>
      <c r="I85" s="1">
        <f>Table1[[#This Row],[Pout]]/Vin</f>
        <v>4.74</v>
      </c>
      <c r="J85" s="1">
        <f>Vin*Table1[[#This Row],[Idc]]*Table1[[#This Row],[Time On]]</f>
        <v>9.17427E-3</v>
      </c>
      <c r="K85" s="1">
        <f>Table1[[#This Row],[Energy/Cycle]]-Table1[[#This Row],[Edc]]</f>
        <v>1.405173E-2</v>
      </c>
      <c r="L85" s="1">
        <f>2*Table1[[#This Row],[E Capacitor]]/(Vin^2-(Vin-V_ripple)^2)</f>
        <v>4.862190311418689E-4</v>
      </c>
      <c r="M85" s="1">
        <f>Table1[[#This Row],[Energy/Cycle]]-(Table1[[#This Row],[E Capacitor]]+Table1[[#This Row],[Edc]])</f>
        <v>0</v>
      </c>
      <c r="N8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5.804329489765955</v>
      </c>
    </row>
    <row r="86" spans="1:14" x14ac:dyDescent="0.25">
      <c r="A86">
        <v>0.4</v>
      </c>
      <c r="B86">
        <f t="shared" si="2"/>
        <v>11.76</v>
      </c>
      <c r="C86">
        <f>(Vin-Table1[[#This Row],[Vout]])*Table1[[#This Row],[Duty]]/(Frequency*Inductance)</f>
        <v>2.3520000000000003</v>
      </c>
      <c r="D86">
        <f>Irms-Table1[[#This Row],[Ripple Current (A)]]</f>
        <v>9.6479999999999997</v>
      </c>
      <c r="E86">
        <f>Irms+Table1[[#This Row],[Ripple Current (A)]]</f>
        <v>14.352</v>
      </c>
      <c r="F86">
        <f>Table1[[#This Row],[Vout]]*(Table1[[#This Row],[Imin]]+Table1[[#This Row],[Ripple Current (A)]])</f>
        <v>141.12</v>
      </c>
      <c r="G86" s="1">
        <f>Table1[[#This Row],[Pout]]/Frequency</f>
        <v>2.3519999999999999E-2</v>
      </c>
      <c r="H86" s="1">
        <f>Table1[[#This Row],[Duty]]/Frequency</f>
        <v>6.666666666666667E-5</v>
      </c>
      <c r="I86" s="1">
        <f>Table1[[#This Row],[Pout]]/Vin</f>
        <v>4.8000000000000007</v>
      </c>
      <c r="J86" s="1">
        <f>Vin*Table1[[#This Row],[Idc]]*Table1[[#This Row],[Time On]]</f>
        <v>9.4080000000000014E-3</v>
      </c>
      <c r="K86" s="1">
        <f>Table1[[#This Row],[Energy/Cycle]]-Table1[[#This Row],[Edc]]</f>
        <v>1.4111999999999998E-2</v>
      </c>
      <c r="L86" s="1">
        <f>2*Table1[[#This Row],[E Capacitor]]/(Vin^2-(Vin-V_ripple)^2)</f>
        <v>4.8830449826989654E-4</v>
      </c>
      <c r="M86" s="1">
        <f>Table1[[#This Row],[Energy/Cycle]]-(Table1[[#This Row],[E Capacitor]]+Table1[[#This Row],[Edc]])</f>
        <v>0</v>
      </c>
      <c r="N8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5.8157039814626055</v>
      </c>
    </row>
    <row r="87" spans="1:14" x14ac:dyDescent="0.25">
      <c r="A87">
        <v>0.40500000000000003</v>
      </c>
      <c r="B87">
        <f t="shared" si="2"/>
        <v>11.907</v>
      </c>
      <c r="C87">
        <f>(Vin-Table1[[#This Row],[Vout]])*Table1[[#This Row],[Duty]]/(Frequency*Inductance)</f>
        <v>2.3615550000000001</v>
      </c>
      <c r="D87">
        <f>Irms-Table1[[#This Row],[Ripple Current (A)]]</f>
        <v>9.6384450000000008</v>
      </c>
      <c r="E87">
        <f>Irms+Table1[[#This Row],[Ripple Current (A)]]</f>
        <v>14.361554999999999</v>
      </c>
      <c r="F87">
        <f>Table1[[#This Row],[Vout]]*(Table1[[#This Row],[Imin]]+Table1[[#This Row],[Ripple Current (A)]])</f>
        <v>142.88400000000001</v>
      </c>
      <c r="G87" s="1">
        <f>Table1[[#This Row],[Pout]]/Frequency</f>
        <v>2.3814000000000002E-2</v>
      </c>
      <c r="H87" s="1">
        <f>Table1[[#This Row],[Duty]]/Frequency</f>
        <v>6.7500000000000001E-5</v>
      </c>
      <c r="I87" s="1">
        <f>Table1[[#This Row],[Pout]]/Vin</f>
        <v>4.8600000000000003</v>
      </c>
      <c r="J87" s="1">
        <f>Vin*Table1[[#This Row],[Idc]]*Table1[[#This Row],[Time On]]</f>
        <v>9.644670000000001E-3</v>
      </c>
      <c r="K87" s="1">
        <f>Table1[[#This Row],[Energy/Cycle]]-Table1[[#This Row],[Edc]]</f>
        <v>1.4169330000000001E-2</v>
      </c>
      <c r="L87" s="1">
        <f>2*Table1[[#This Row],[E Capacitor]]/(Vin^2-(Vin-V_ripple)^2)</f>
        <v>4.9028823529411803E-4</v>
      </c>
      <c r="M87" s="1">
        <f>Table1[[#This Row],[Energy/Cycle]]-(Table1[[#This Row],[E Capacitor]]+Table1[[#This Row],[Edc]])</f>
        <v>0</v>
      </c>
      <c r="N8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5.8264494186053515</v>
      </c>
    </row>
    <row r="88" spans="1:14" x14ac:dyDescent="0.25">
      <c r="A88">
        <v>0.41</v>
      </c>
      <c r="B88">
        <f t="shared" si="2"/>
        <v>12.053999999999998</v>
      </c>
      <c r="C88">
        <f>(Vin-Table1[[#This Row],[Vout]])*Table1[[#This Row],[Duty]]/(Frequency*Inductance)</f>
        <v>2.3706199999999997</v>
      </c>
      <c r="D88">
        <f>Irms-Table1[[#This Row],[Ripple Current (A)]]</f>
        <v>9.6293800000000012</v>
      </c>
      <c r="E88">
        <f>Irms+Table1[[#This Row],[Ripple Current (A)]]</f>
        <v>14.370619999999999</v>
      </c>
      <c r="F88">
        <f>Table1[[#This Row],[Vout]]*(Table1[[#This Row],[Imin]]+Table1[[#This Row],[Ripple Current (A)]])</f>
        <v>144.64799999999997</v>
      </c>
      <c r="G88" s="1">
        <f>Table1[[#This Row],[Pout]]/Frequency</f>
        <v>2.4107999999999994E-2</v>
      </c>
      <c r="H88" s="1">
        <f>Table1[[#This Row],[Duty]]/Frequency</f>
        <v>6.8333333333333332E-5</v>
      </c>
      <c r="I88" s="1">
        <f>Table1[[#This Row],[Pout]]/Vin</f>
        <v>4.919999999999999</v>
      </c>
      <c r="J88" s="1">
        <f>Vin*Table1[[#This Row],[Idc]]*Table1[[#This Row],[Time On]]</f>
        <v>9.884279999999997E-3</v>
      </c>
      <c r="K88" s="1">
        <f>Table1[[#This Row],[Energy/Cycle]]-Table1[[#This Row],[Edc]]</f>
        <v>1.4223719999999997E-2</v>
      </c>
      <c r="L88" s="1">
        <f>2*Table1[[#This Row],[E Capacitor]]/(Vin^2-(Vin-V_ripple)^2)</f>
        <v>4.9217024221453315E-4</v>
      </c>
      <c r="M88" s="1">
        <f>Table1[[#This Row],[Energy/Cycle]]-(Table1[[#This Row],[E Capacitor]]+Table1[[#This Row],[Edc]])</f>
        <v>0</v>
      </c>
      <c r="N8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5.8365705094229217</v>
      </c>
    </row>
    <row r="89" spans="1:14" x14ac:dyDescent="0.25">
      <c r="A89">
        <v>0.41499999999999998</v>
      </c>
      <c r="B89">
        <f t="shared" si="2"/>
        <v>12.200999999999999</v>
      </c>
      <c r="C89">
        <f>(Vin-Table1[[#This Row],[Vout]])*Table1[[#This Row],[Duty]]/(Frequency*Inductance)</f>
        <v>2.3791949999999997</v>
      </c>
      <c r="D89">
        <f>Irms-Table1[[#This Row],[Ripple Current (A)]]</f>
        <v>9.6208050000000007</v>
      </c>
      <c r="E89">
        <f>Irms+Table1[[#This Row],[Ripple Current (A)]]</f>
        <v>14.379194999999999</v>
      </c>
      <c r="F89">
        <f>Table1[[#This Row],[Vout]]*(Table1[[#This Row],[Imin]]+Table1[[#This Row],[Ripple Current (A)]])</f>
        <v>146.41199999999998</v>
      </c>
      <c r="G89" s="1">
        <f>Table1[[#This Row],[Pout]]/Frequency</f>
        <v>2.4401999999999997E-2</v>
      </c>
      <c r="H89" s="1">
        <f>Table1[[#This Row],[Duty]]/Frequency</f>
        <v>6.9166666666666663E-5</v>
      </c>
      <c r="I89" s="1">
        <f>Table1[[#This Row],[Pout]]/Vin</f>
        <v>4.9799999999999995</v>
      </c>
      <c r="J89" s="1">
        <f>Vin*Table1[[#This Row],[Idc]]*Table1[[#This Row],[Time On]]</f>
        <v>1.0126829999999998E-2</v>
      </c>
      <c r="K89" s="1">
        <f>Table1[[#This Row],[Energy/Cycle]]-Table1[[#This Row],[Edc]]</f>
        <v>1.4275169999999998E-2</v>
      </c>
      <c r="L89" s="1">
        <f>2*Table1[[#This Row],[E Capacitor]]/(Vin^2-(Vin-V_ripple)^2)</f>
        <v>4.9395051903114223E-4</v>
      </c>
      <c r="M89" s="1">
        <f>Table1[[#This Row],[Energy/Cycle]]-(Table1[[#This Row],[E Capacitor]]+Table1[[#This Row],[Edc]])</f>
        <v>0</v>
      </c>
      <c r="N8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5.8460717274670762</v>
      </c>
    </row>
    <row r="90" spans="1:14" x14ac:dyDescent="0.25">
      <c r="A90">
        <v>0.42</v>
      </c>
      <c r="B90">
        <f t="shared" si="2"/>
        <v>12.347999999999999</v>
      </c>
      <c r="C90">
        <f>(Vin-Table1[[#This Row],[Vout]])*Table1[[#This Row],[Duty]]/(Frequency*Inductance)</f>
        <v>2.3872800000000001</v>
      </c>
      <c r="D90">
        <f>Irms-Table1[[#This Row],[Ripple Current (A)]]</f>
        <v>9.6127199999999995</v>
      </c>
      <c r="E90">
        <f>Irms+Table1[[#This Row],[Ripple Current (A)]]</f>
        <v>14.387280000000001</v>
      </c>
      <c r="F90">
        <f>Table1[[#This Row],[Vout]]*(Table1[[#This Row],[Imin]]+Table1[[#This Row],[Ripple Current (A)]])</f>
        <v>148.17599999999999</v>
      </c>
      <c r="G90" s="1">
        <f>Table1[[#This Row],[Pout]]/Frequency</f>
        <v>2.4695999999999999E-2</v>
      </c>
      <c r="H90" s="1">
        <f>Table1[[#This Row],[Duty]]/Frequency</f>
        <v>6.9999999999999994E-5</v>
      </c>
      <c r="I90" s="1">
        <f>Table1[[#This Row],[Pout]]/Vin</f>
        <v>5.04</v>
      </c>
      <c r="J90" s="1">
        <f>Vin*Table1[[#This Row],[Idc]]*Table1[[#This Row],[Time On]]</f>
        <v>1.0372319999999997E-2</v>
      </c>
      <c r="K90" s="1">
        <f>Table1[[#This Row],[Energy/Cycle]]-Table1[[#This Row],[Edc]]</f>
        <v>1.4323680000000002E-2</v>
      </c>
      <c r="L90" s="1">
        <f>2*Table1[[#This Row],[E Capacitor]]/(Vin^2-(Vin-V_ripple)^2)</f>
        <v>4.9562906574394505E-4</v>
      </c>
      <c r="M90" s="1">
        <f>Table1[[#This Row],[Energy/Cycle]]-(Table1[[#This Row],[E Capacitor]]+Table1[[#This Row],[Edc]])</f>
        <v>0</v>
      </c>
      <c r="N9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5.8549573173699567</v>
      </c>
    </row>
    <row r="91" spans="1:14" x14ac:dyDescent="0.25">
      <c r="A91">
        <v>0.42499999999999999</v>
      </c>
      <c r="B91">
        <f t="shared" si="2"/>
        <v>12.494999999999999</v>
      </c>
      <c r="C91">
        <f>(Vin-Table1[[#This Row],[Vout]])*Table1[[#This Row],[Duty]]/(Frequency*Inductance)</f>
        <v>2.3948750000000003</v>
      </c>
      <c r="D91">
        <f>Irms-Table1[[#This Row],[Ripple Current (A)]]</f>
        <v>9.6051249999999992</v>
      </c>
      <c r="E91">
        <f>Irms+Table1[[#This Row],[Ripple Current (A)]]</f>
        <v>14.394875000000001</v>
      </c>
      <c r="F91">
        <f>Table1[[#This Row],[Vout]]*(Table1[[#This Row],[Imin]]+Table1[[#This Row],[Ripple Current (A)]])</f>
        <v>149.94</v>
      </c>
      <c r="G91" s="1">
        <f>Table1[[#This Row],[Pout]]/Frequency</f>
        <v>2.4989999999999998E-2</v>
      </c>
      <c r="H91" s="1">
        <f>Table1[[#This Row],[Duty]]/Frequency</f>
        <v>7.0833333333333325E-5</v>
      </c>
      <c r="I91" s="1">
        <f>Table1[[#This Row],[Pout]]/Vin</f>
        <v>5.1000000000000005</v>
      </c>
      <c r="J91" s="1">
        <f>Vin*Table1[[#This Row],[Idc]]*Table1[[#This Row],[Time On]]</f>
        <v>1.0620749999999998E-2</v>
      </c>
      <c r="K91" s="1">
        <f>Table1[[#This Row],[Energy/Cycle]]-Table1[[#This Row],[Edc]]</f>
        <v>1.436925E-2</v>
      </c>
      <c r="L91" s="1">
        <f>2*Table1[[#This Row],[E Capacitor]]/(Vin^2-(Vin-V_ripple)^2)</f>
        <v>4.972058823529416E-4</v>
      </c>
      <c r="M91" s="1">
        <f>Table1[[#This Row],[Energy/Cycle]]-(Table1[[#This Row],[E Capacitor]]+Table1[[#This Row],[Edc]])</f>
        <v>0</v>
      </c>
      <c r="N9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5.8632313001481062</v>
      </c>
    </row>
    <row r="92" spans="1:14" x14ac:dyDescent="0.25">
      <c r="A92">
        <v>0.43</v>
      </c>
      <c r="B92">
        <f t="shared" si="2"/>
        <v>12.641999999999999</v>
      </c>
      <c r="C92">
        <f>(Vin-Table1[[#This Row],[Vout]])*Table1[[#This Row],[Duty]]/(Frequency*Inductance)</f>
        <v>2.4019799999999996</v>
      </c>
      <c r="D92">
        <f>Irms-Table1[[#This Row],[Ripple Current (A)]]</f>
        <v>9.59802</v>
      </c>
      <c r="E92">
        <f>Irms+Table1[[#This Row],[Ripple Current (A)]]</f>
        <v>14.40198</v>
      </c>
      <c r="F92">
        <f>Table1[[#This Row],[Vout]]*(Table1[[#This Row],[Imin]]+Table1[[#This Row],[Ripple Current (A)]])</f>
        <v>151.70400000000001</v>
      </c>
      <c r="G92" s="1">
        <f>Table1[[#This Row],[Pout]]/Frequency</f>
        <v>2.5284000000000001E-2</v>
      </c>
      <c r="H92" s="1">
        <f>Table1[[#This Row],[Duty]]/Frequency</f>
        <v>7.1666666666666669E-5</v>
      </c>
      <c r="I92" s="1">
        <f>Table1[[#This Row],[Pout]]/Vin</f>
        <v>5.16</v>
      </c>
      <c r="J92" s="1">
        <f>Vin*Table1[[#This Row],[Idc]]*Table1[[#This Row],[Time On]]</f>
        <v>1.0872120000000001E-2</v>
      </c>
      <c r="K92" s="1">
        <f>Table1[[#This Row],[Energy/Cycle]]-Table1[[#This Row],[Edc]]</f>
        <v>1.441188E-2</v>
      </c>
      <c r="L92" s="1">
        <f>2*Table1[[#This Row],[E Capacitor]]/(Vin^2-(Vin-V_ripple)^2)</f>
        <v>4.986809688581319E-4</v>
      </c>
      <c r="M92" s="1">
        <f>Table1[[#This Row],[Energy/Cycle]]-(Table1[[#This Row],[E Capacitor]]+Table1[[#This Row],[Edc]])</f>
        <v>0</v>
      </c>
      <c r="N9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5.870897478075733</v>
      </c>
    </row>
    <row r="93" spans="1:14" x14ac:dyDescent="0.25">
      <c r="A93">
        <v>0.435</v>
      </c>
      <c r="B93">
        <f t="shared" si="2"/>
        <v>12.789</v>
      </c>
      <c r="C93">
        <f>(Vin-Table1[[#This Row],[Vout]])*Table1[[#This Row],[Duty]]/(Frequency*Inductance)</f>
        <v>2.4085949999999996</v>
      </c>
      <c r="D93">
        <f>Irms-Table1[[#This Row],[Ripple Current (A)]]</f>
        <v>9.591405</v>
      </c>
      <c r="E93">
        <f>Irms+Table1[[#This Row],[Ripple Current (A)]]</f>
        <v>14.408595</v>
      </c>
      <c r="F93">
        <f>Table1[[#This Row],[Vout]]*(Table1[[#This Row],[Imin]]+Table1[[#This Row],[Ripple Current (A)]])</f>
        <v>153.46799999999999</v>
      </c>
      <c r="G93" s="1">
        <f>Table1[[#This Row],[Pout]]/Frequency</f>
        <v>2.5577999999999997E-2</v>
      </c>
      <c r="H93" s="1">
        <f>Table1[[#This Row],[Duty]]/Frequency</f>
        <v>7.25E-5</v>
      </c>
      <c r="I93" s="1">
        <f>Table1[[#This Row],[Pout]]/Vin</f>
        <v>5.22</v>
      </c>
      <c r="J93" s="1">
        <f>Vin*Table1[[#This Row],[Idc]]*Table1[[#This Row],[Time On]]</f>
        <v>1.112643E-2</v>
      </c>
      <c r="K93" s="1">
        <f>Table1[[#This Row],[Energy/Cycle]]-Table1[[#This Row],[Edc]]</f>
        <v>1.4451569999999997E-2</v>
      </c>
      <c r="L93" s="1">
        <f>2*Table1[[#This Row],[E Capacitor]]/(Vin^2-(Vin-V_ripple)^2)</f>
        <v>5.0005432525951582E-4</v>
      </c>
      <c r="M93" s="1">
        <f>Table1[[#This Row],[Energy/Cycle]]-(Table1[[#This Row],[E Capacitor]]+Table1[[#This Row],[Edc]])</f>
        <v>0</v>
      </c>
      <c r="N9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5.8779594391477703</v>
      </c>
    </row>
    <row r="94" spans="1:14" x14ac:dyDescent="0.25">
      <c r="A94">
        <v>0.44</v>
      </c>
      <c r="B94">
        <f t="shared" si="2"/>
        <v>12.936</v>
      </c>
      <c r="C94">
        <f>(Vin-Table1[[#This Row],[Vout]])*Table1[[#This Row],[Duty]]/(Frequency*Inductance)</f>
        <v>2.4147199999999995</v>
      </c>
      <c r="D94">
        <f>Irms-Table1[[#This Row],[Ripple Current (A)]]</f>
        <v>9.5852800000000009</v>
      </c>
      <c r="E94">
        <f>Irms+Table1[[#This Row],[Ripple Current (A)]]</f>
        <v>14.414719999999999</v>
      </c>
      <c r="F94">
        <f>Table1[[#This Row],[Vout]]*(Table1[[#This Row],[Imin]]+Table1[[#This Row],[Ripple Current (A)]])</f>
        <v>155.232</v>
      </c>
      <c r="G94" s="1">
        <f>Table1[[#This Row],[Pout]]/Frequency</f>
        <v>2.5871999999999999E-2</v>
      </c>
      <c r="H94" s="1">
        <f>Table1[[#This Row],[Duty]]/Frequency</f>
        <v>7.3333333333333331E-5</v>
      </c>
      <c r="I94" s="1">
        <f>Table1[[#This Row],[Pout]]/Vin</f>
        <v>5.28</v>
      </c>
      <c r="J94" s="1">
        <f>Vin*Table1[[#This Row],[Idc]]*Table1[[#This Row],[Time On]]</f>
        <v>1.138368E-2</v>
      </c>
      <c r="K94" s="1">
        <f>Table1[[#This Row],[Energy/Cycle]]-Table1[[#This Row],[Edc]]</f>
        <v>1.4488319999999999E-2</v>
      </c>
      <c r="L94" s="1">
        <f>2*Table1[[#This Row],[E Capacitor]]/(Vin^2-(Vin-V_ripple)^2)</f>
        <v>5.0132595155709381E-4</v>
      </c>
      <c r="M94" s="1">
        <f>Table1[[#This Row],[Energy/Cycle]]-(Table1[[#This Row],[E Capacitor]]+Table1[[#This Row],[Edc]])</f>
        <v>0</v>
      </c>
      <c r="N9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5.8844205611513978</v>
      </c>
    </row>
    <row r="95" spans="1:14" x14ac:dyDescent="0.25">
      <c r="A95">
        <v>0.44500000000000001</v>
      </c>
      <c r="B95">
        <f t="shared" si="2"/>
        <v>13.083</v>
      </c>
      <c r="C95">
        <f>(Vin-Table1[[#This Row],[Vout]])*Table1[[#This Row],[Duty]]/(Frequency*Inductance)</f>
        <v>2.4203550000000003</v>
      </c>
      <c r="D95">
        <f>Irms-Table1[[#This Row],[Ripple Current (A)]]</f>
        <v>9.5796449999999993</v>
      </c>
      <c r="E95">
        <f>Irms+Table1[[#This Row],[Ripple Current (A)]]</f>
        <v>14.420355000000001</v>
      </c>
      <c r="F95">
        <f>Table1[[#This Row],[Vout]]*(Table1[[#This Row],[Imin]]+Table1[[#This Row],[Ripple Current (A)]])</f>
        <v>156.99600000000001</v>
      </c>
      <c r="G95" s="1">
        <f>Table1[[#This Row],[Pout]]/Frequency</f>
        <v>2.6166000000000002E-2</v>
      </c>
      <c r="H95" s="1">
        <f>Table1[[#This Row],[Duty]]/Frequency</f>
        <v>7.4166666666666662E-5</v>
      </c>
      <c r="I95" s="1">
        <f>Table1[[#This Row],[Pout]]/Vin</f>
        <v>5.3400000000000007</v>
      </c>
      <c r="J95" s="1">
        <f>Vin*Table1[[#This Row],[Idc]]*Table1[[#This Row],[Time On]]</f>
        <v>1.1643870000000001E-2</v>
      </c>
      <c r="K95" s="1">
        <f>Table1[[#This Row],[Energy/Cycle]]-Table1[[#This Row],[Edc]]</f>
        <v>1.4522130000000001E-2</v>
      </c>
      <c r="L95" s="1">
        <f>2*Table1[[#This Row],[E Capacitor]]/(Vin^2-(Vin-V_ripple)^2)</f>
        <v>5.0249584775086554E-4</v>
      </c>
      <c r="M95" s="1">
        <f>Table1[[#This Row],[Energy/Cycle]]-(Table1[[#This Row],[E Capacitor]]+Table1[[#This Row],[Edc]])</f>
        <v>0</v>
      </c>
      <c r="N9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5.8902840153628944</v>
      </c>
    </row>
    <row r="96" spans="1:14" x14ac:dyDescent="0.25">
      <c r="A96">
        <v>0.45</v>
      </c>
      <c r="B96">
        <f t="shared" si="2"/>
        <v>13.23</v>
      </c>
      <c r="C96">
        <f>(Vin-Table1[[#This Row],[Vout]])*Table1[[#This Row],[Duty]]/(Frequency*Inductance)</f>
        <v>2.4255</v>
      </c>
      <c r="D96">
        <f>Irms-Table1[[#This Row],[Ripple Current (A)]]</f>
        <v>9.5745000000000005</v>
      </c>
      <c r="E96">
        <f>Irms+Table1[[#This Row],[Ripple Current (A)]]</f>
        <v>14.4255</v>
      </c>
      <c r="F96">
        <f>Table1[[#This Row],[Vout]]*(Table1[[#This Row],[Imin]]+Table1[[#This Row],[Ripple Current (A)]])</f>
        <v>158.76</v>
      </c>
      <c r="G96" s="1">
        <f>Table1[[#This Row],[Pout]]/Frequency</f>
        <v>2.6459999999999997E-2</v>
      </c>
      <c r="H96" s="1">
        <f>Table1[[#This Row],[Duty]]/Frequency</f>
        <v>7.5000000000000007E-5</v>
      </c>
      <c r="I96" s="1">
        <f>Table1[[#This Row],[Pout]]/Vin</f>
        <v>5.4</v>
      </c>
      <c r="J96" s="1">
        <f>Vin*Table1[[#This Row],[Idc]]*Table1[[#This Row],[Time On]]</f>
        <v>1.1907000000000001E-2</v>
      </c>
      <c r="K96" s="1">
        <f>Table1[[#This Row],[Energy/Cycle]]-Table1[[#This Row],[Edc]]</f>
        <v>1.4552999999999996E-2</v>
      </c>
      <c r="L96" s="1">
        <f>2*Table1[[#This Row],[E Capacitor]]/(Vin^2-(Vin-V_ripple)^2)</f>
        <v>5.0356401384083068E-4</v>
      </c>
      <c r="M96" s="1">
        <f>Table1[[#This Row],[Energy/Cycle]]-(Table1[[#This Row],[E Capacitor]]+Table1[[#This Row],[Edc]])</f>
        <v>0</v>
      </c>
      <c r="N9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5.8955527698851107</v>
      </c>
    </row>
    <row r="97" spans="1:14" x14ac:dyDescent="0.25">
      <c r="A97">
        <v>0.45500000000000002</v>
      </c>
      <c r="B97">
        <f t="shared" si="2"/>
        <v>13.377000000000001</v>
      </c>
      <c r="C97">
        <f>(Vin-Table1[[#This Row],[Vout]])*Table1[[#This Row],[Duty]]/(Frequency*Inductance)</f>
        <v>2.4301549999999996</v>
      </c>
      <c r="D97">
        <f>Irms-Table1[[#This Row],[Ripple Current (A)]]</f>
        <v>9.5698450000000008</v>
      </c>
      <c r="E97">
        <f>Irms+Table1[[#This Row],[Ripple Current (A)]]</f>
        <v>14.430154999999999</v>
      </c>
      <c r="F97">
        <f>Table1[[#This Row],[Vout]]*(Table1[[#This Row],[Imin]]+Table1[[#This Row],[Ripple Current (A)]])</f>
        <v>160.524</v>
      </c>
      <c r="G97" s="1">
        <f>Table1[[#This Row],[Pout]]/Frequency</f>
        <v>2.6754E-2</v>
      </c>
      <c r="H97" s="1">
        <f>Table1[[#This Row],[Duty]]/Frequency</f>
        <v>7.5833333333333338E-5</v>
      </c>
      <c r="I97" s="1">
        <f>Table1[[#This Row],[Pout]]/Vin</f>
        <v>5.46</v>
      </c>
      <c r="J97" s="1">
        <f>Vin*Table1[[#This Row],[Idc]]*Table1[[#This Row],[Time On]]</f>
        <v>1.2173070000000001E-2</v>
      </c>
      <c r="K97" s="1">
        <f>Table1[[#This Row],[Energy/Cycle]]-Table1[[#This Row],[Edc]]</f>
        <v>1.4580929999999999E-2</v>
      </c>
      <c r="L97" s="1">
        <f>2*Table1[[#This Row],[E Capacitor]]/(Vin^2-(Vin-V_ripple)^2)</f>
        <v>5.0453044982699E-4</v>
      </c>
      <c r="M97" s="1">
        <f>Table1[[#This Row],[Energy/Cycle]]-(Table1[[#This Row],[E Capacitor]]+Table1[[#This Row],[Edc]])</f>
        <v>0</v>
      </c>
      <c r="N9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5.900229592639274</v>
      </c>
    </row>
    <row r="98" spans="1:14" x14ac:dyDescent="0.25">
      <c r="A98">
        <v>0.46</v>
      </c>
      <c r="B98">
        <f t="shared" si="2"/>
        <v>13.523999999999999</v>
      </c>
      <c r="C98">
        <f>(Vin-Table1[[#This Row],[Vout]])*Table1[[#This Row],[Duty]]/(Frequency*Inductance)</f>
        <v>2.43432</v>
      </c>
      <c r="D98">
        <f>Irms-Table1[[#This Row],[Ripple Current (A)]]</f>
        <v>9.5656800000000004</v>
      </c>
      <c r="E98">
        <f>Irms+Table1[[#This Row],[Ripple Current (A)]]</f>
        <v>14.43432</v>
      </c>
      <c r="F98">
        <f>Table1[[#This Row],[Vout]]*(Table1[[#This Row],[Imin]]+Table1[[#This Row],[Ripple Current (A)]])</f>
        <v>162.28799999999998</v>
      </c>
      <c r="G98" s="1">
        <f>Table1[[#This Row],[Pout]]/Frequency</f>
        <v>2.7047999999999996E-2</v>
      </c>
      <c r="H98" s="1">
        <f>Table1[[#This Row],[Duty]]/Frequency</f>
        <v>7.6666666666666669E-5</v>
      </c>
      <c r="I98" s="1">
        <f>Table1[[#This Row],[Pout]]/Vin</f>
        <v>5.52</v>
      </c>
      <c r="J98" s="1">
        <f>Vin*Table1[[#This Row],[Idc]]*Table1[[#This Row],[Time On]]</f>
        <v>1.2442079999999999E-2</v>
      </c>
      <c r="K98" s="1">
        <f>Table1[[#This Row],[Energy/Cycle]]-Table1[[#This Row],[Edc]]</f>
        <v>1.4605919999999996E-2</v>
      </c>
      <c r="L98" s="1">
        <f>2*Table1[[#This Row],[E Capacitor]]/(Vin^2-(Vin-V_ripple)^2)</f>
        <v>5.0539515570934283E-4</v>
      </c>
      <c r="M98" s="1">
        <f>Table1[[#This Row],[Energy/Cycle]]-(Table1[[#This Row],[E Capacitor]]+Table1[[#This Row],[Edc]])</f>
        <v>0</v>
      </c>
      <c r="N9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5.904317054023438</v>
      </c>
    </row>
    <row r="99" spans="1:14" x14ac:dyDescent="0.25">
      <c r="A99">
        <v>0.46500000000000002</v>
      </c>
      <c r="B99">
        <f t="shared" si="2"/>
        <v>13.670999999999999</v>
      </c>
      <c r="C99">
        <f>(Vin-Table1[[#This Row],[Vout]])*Table1[[#This Row],[Duty]]/(Frequency*Inductance)</f>
        <v>2.4379949999999999</v>
      </c>
      <c r="D99">
        <f>Irms-Table1[[#This Row],[Ripple Current (A)]]</f>
        <v>9.5620049999999992</v>
      </c>
      <c r="E99">
        <f>Irms+Table1[[#This Row],[Ripple Current (A)]]</f>
        <v>14.437995000000001</v>
      </c>
      <c r="F99">
        <f>Table1[[#This Row],[Vout]]*(Table1[[#This Row],[Imin]]+Table1[[#This Row],[Ripple Current (A)]])</f>
        <v>164.05199999999999</v>
      </c>
      <c r="G99" s="1">
        <f>Table1[[#This Row],[Pout]]/Frequency</f>
        <v>2.7341999999999998E-2</v>
      </c>
      <c r="H99" s="1">
        <f>Table1[[#This Row],[Duty]]/Frequency</f>
        <v>7.75E-5</v>
      </c>
      <c r="I99" s="1">
        <f>Table1[[#This Row],[Pout]]/Vin</f>
        <v>5.58</v>
      </c>
      <c r="J99" s="1">
        <f>Vin*Table1[[#This Row],[Idc]]*Table1[[#This Row],[Time On]]</f>
        <v>1.2714029999999999E-2</v>
      </c>
      <c r="K99" s="1">
        <f>Table1[[#This Row],[Energy/Cycle]]-Table1[[#This Row],[Edc]]</f>
        <v>1.4627969999999999E-2</v>
      </c>
      <c r="L99" s="1">
        <f>2*Table1[[#This Row],[E Capacitor]]/(Vin^2-(Vin-V_ripple)^2)</f>
        <v>5.0615813148788963E-4</v>
      </c>
      <c r="M99" s="1">
        <f>Table1[[#This Row],[Energy/Cycle]]-(Table1[[#This Row],[E Capacitor]]+Table1[[#This Row],[Edc]])</f>
        <v>0</v>
      </c>
      <c r="N9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5.9078175292485229</v>
      </c>
    </row>
    <row r="100" spans="1:14" x14ac:dyDescent="0.25">
      <c r="A100">
        <v>0.47</v>
      </c>
      <c r="B100">
        <f t="shared" si="2"/>
        <v>13.817999999999998</v>
      </c>
      <c r="C100">
        <f>(Vin-Table1[[#This Row],[Vout]])*Table1[[#This Row],[Duty]]/(Frequency*Inductance)</f>
        <v>2.4411799999999997</v>
      </c>
      <c r="D100">
        <f>Irms-Table1[[#This Row],[Ripple Current (A)]]</f>
        <v>9.5588200000000008</v>
      </c>
      <c r="E100">
        <f>Irms+Table1[[#This Row],[Ripple Current (A)]]</f>
        <v>14.441179999999999</v>
      </c>
      <c r="F100">
        <f>Table1[[#This Row],[Vout]]*(Table1[[#This Row],[Imin]]+Table1[[#This Row],[Ripple Current (A)]])</f>
        <v>165.81599999999997</v>
      </c>
      <c r="G100" s="1">
        <f>Table1[[#This Row],[Pout]]/Frequency</f>
        <v>2.7635999999999997E-2</v>
      </c>
      <c r="H100" s="1">
        <f>Table1[[#This Row],[Duty]]/Frequency</f>
        <v>7.8333333333333331E-5</v>
      </c>
      <c r="I100" s="1">
        <f>Table1[[#This Row],[Pout]]/Vin</f>
        <v>5.64</v>
      </c>
      <c r="J100" s="1">
        <f>Vin*Table1[[#This Row],[Idc]]*Table1[[#This Row],[Time On]]</f>
        <v>1.2988919999999998E-2</v>
      </c>
      <c r="K100" s="1">
        <f>Table1[[#This Row],[Energy/Cycle]]-Table1[[#This Row],[Edc]]</f>
        <v>1.464708E-2</v>
      </c>
      <c r="L100" s="1">
        <f>2*Table1[[#This Row],[E Capacitor]]/(Vin^2-(Vin-V_ripple)^2)</f>
        <v>5.0681937716263016E-4</v>
      </c>
      <c r="M100" s="1">
        <f>Table1[[#This Row],[Energy/Cycle]]-(Table1[[#This Row],[E Capacitor]]+Table1[[#This Row],[Edc]])</f>
        <v>0</v>
      </c>
      <c r="N10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5.910733200361638</v>
      </c>
    </row>
    <row r="101" spans="1:14" x14ac:dyDescent="0.25">
      <c r="A101">
        <v>0.47499999999999998</v>
      </c>
      <c r="B101">
        <f t="shared" si="2"/>
        <v>13.964999999999998</v>
      </c>
      <c r="C101">
        <f>(Vin-Table1[[#This Row],[Vout]])*Table1[[#This Row],[Duty]]/(Frequency*Inductance)</f>
        <v>2.4438749999999998</v>
      </c>
      <c r="D101">
        <f>Irms-Table1[[#This Row],[Ripple Current (A)]]</f>
        <v>9.5561249999999998</v>
      </c>
      <c r="E101">
        <f>Irms+Table1[[#This Row],[Ripple Current (A)]]</f>
        <v>14.443875</v>
      </c>
      <c r="F101">
        <f>Table1[[#This Row],[Vout]]*(Table1[[#This Row],[Imin]]+Table1[[#This Row],[Ripple Current (A)]])</f>
        <v>167.57999999999998</v>
      </c>
      <c r="G101" s="1">
        <f>Table1[[#This Row],[Pout]]/Frequency</f>
        <v>2.7929999999999996E-2</v>
      </c>
      <c r="H101" s="1">
        <f>Table1[[#This Row],[Duty]]/Frequency</f>
        <v>7.9166666666666662E-5</v>
      </c>
      <c r="I101" s="1">
        <f>Table1[[#This Row],[Pout]]/Vin</f>
        <v>5.7</v>
      </c>
      <c r="J101" s="1">
        <f>Vin*Table1[[#This Row],[Idc]]*Table1[[#This Row],[Time On]]</f>
        <v>1.3266749999999997E-2</v>
      </c>
      <c r="K101" s="1">
        <f>Table1[[#This Row],[Energy/Cycle]]-Table1[[#This Row],[Edc]]</f>
        <v>1.4663249999999999E-2</v>
      </c>
      <c r="L101" s="1">
        <f>2*Table1[[#This Row],[E Capacitor]]/(Vin^2-(Vin-V_ripple)^2)</f>
        <v>5.0737889273356443E-4</v>
      </c>
      <c r="M101" s="1">
        <f>Table1[[#This Row],[Energy/Cycle]]-(Table1[[#This Row],[E Capacitor]]+Table1[[#This Row],[Edc]])</f>
        <v>0</v>
      </c>
      <c r="N10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5.9130660579651382</v>
      </c>
    </row>
    <row r="102" spans="1:14" x14ac:dyDescent="0.25">
      <c r="A102">
        <v>0.48</v>
      </c>
      <c r="B102">
        <f t="shared" si="2"/>
        <v>14.111999999999998</v>
      </c>
      <c r="C102">
        <f>(Vin-Table1[[#This Row],[Vout]])*Table1[[#This Row],[Duty]]/(Frequency*Inductance)</f>
        <v>2.4460799999999998</v>
      </c>
      <c r="D102">
        <f>Irms-Table1[[#This Row],[Ripple Current (A)]]</f>
        <v>9.5539199999999997</v>
      </c>
      <c r="E102">
        <f>Irms+Table1[[#This Row],[Ripple Current (A)]]</f>
        <v>14.44608</v>
      </c>
      <c r="F102">
        <f>Table1[[#This Row],[Vout]]*(Table1[[#This Row],[Imin]]+Table1[[#This Row],[Ripple Current (A)]])</f>
        <v>169.34399999999999</v>
      </c>
      <c r="G102" s="1">
        <f>Table1[[#This Row],[Pout]]/Frequency</f>
        <v>2.8223999999999999E-2</v>
      </c>
      <c r="H102" s="1">
        <f>Table1[[#This Row],[Duty]]/Frequency</f>
        <v>7.9999999999999993E-5</v>
      </c>
      <c r="I102" s="1">
        <f>Table1[[#This Row],[Pout]]/Vin</f>
        <v>5.76</v>
      </c>
      <c r="J102" s="1">
        <f>Vin*Table1[[#This Row],[Idc]]*Table1[[#This Row],[Time On]]</f>
        <v>1.3547519999999999E-2</v>
      </c>
      <c r="K102" s="1">
        <f>Table1[[#This Row],[Energy/Cycle]]-Table1[[#This Row],[Edc]]</f>
        <v>1.467648E-2</v>
      </c>
      <c r="L102" s="1">
        <f>2*Table1[[#This Row],[E Capacitor]]/(Vin^2-(Vin-V_ripple)^2)</f>
        <v>5.0783667820069245E-4</v>
      </c>
      <c r="M102" s="1">
        <f>Table1[[#This Row],[Energy/Cycle]]-(Table1[[#This Row],[E Capacitor]]+Table1[[#This Row],[Edc]])</f>
        <v>0</v>
      </c>
      <c r="N10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5.9148179026387613</v>
      </c>
    </row>
    <row r="103" spans="1:14" x14ac:dyDescent="0.25">
      <c r="A103">
        <v>0.48499999999999999</v>
      </c>
      <c r="B103">
        <f t="shared" ref="B103:B134" si="3">A103*Vin</f>
        <v>14.258999999999999</v>
      </c>
      <c r="C103">
        <f>(Vin-Table1[[#This Row],[Vout]])*Table1[[#This Row],[Duty]]/(Frequency*Inductance)</f>
        <v>2.4477949999999997</v>
      </c>
      <c r="D103">
        <f>Irms-Table1[[#This Row],[Ripple Current (A)]]</f>
        <v>9.5522050000000007</v>
      </c>
      <c r="E103">
        <f>Irms+Table1[[#This Row],[Ripple Current (A)]]</f>
        <v>14.447794999999999</v>
      </c>
      <c r="F103">
        <f>Table1[[#This Row],[Vout]]*(Table1[[#This Row],[Imin]]+Table1[[#This Row],[Ripple Current (A)]])</f>
        <v>171.10799999999998</v>
      </c>
      <c r="G103" s="1">
        <f>Table1[[#This Row],[Pout]]/Frequency</f>
        <v>2.8517999999999995E-2</v>
      </c>
      <c r="H103" s="1">
        <f>Table1[[#This Row],[Duty]]/Frequency</f>
        <v>8.0833333333333338E-5</v>
      </c>
      <c r="I103" s="1">
        <f>Table1[[#This Row],[Pout]]/Vin</f>
        <v>5.8199999999999994</v>
      </c>
      <c r="J103" s="1">
        <f>Vin*Table1[[#This Row],[Idc]]*Table1[[#This Row],[Time On]]</f>
        <v>1.3831229999999998E-2</v>
      </c>
      <c r="K103" s="1">
        <f>Table1[[#This Row],[Energy/Cycle]]-Table1[[#This Row],[Edc]]</f>
        <v>1.4686769999999997E-2</v>
      </c>
      <c r="L103" s="1">
        <f>2*Table1[[#This Row],[E Capacitor]]/(Vin^2-(Vin-V_ripple)^2)</f>
        <v>5.0819273356401409E-4</v>
      </c>
      <c r="M103" s="1">
        <f>Table1[[#This Row],[Energy/Cycle]]-(Table1[[#This Row],[E Capacitor]]+Table1[[#This Row],[Edc]])</f>
        <v>0</v>
      </c>
      <c r="N10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5.9159903460710579</v>
      </c>
    </row>
    <row r="104" spans="1:14" x14ac:dyDescent="0.25">
      <c r="A104">
        <v>0.49</v>
      </c>
      <c r="B104">
        <f t="shared" si="3"/>
        <v>14.405999999999999</v>
      </c>
      <c r="C104">
        <f>(Vin-Table1[[#This Row],[Vout]])*Table1[[#This Row],[Duty]]/(Frequency*Inductance)</f>
        <v>2.44902</v>
      </c>
      <c r="D104">
        <f>Irms-Table1[[#This Row],[Ripple Current (A)]]</f>
        <v>9.5509799999999991</v>
      </c>
      <c r="E104">
        <f>Irms+Table1[[#This Row],[Ripple Current (A)]]</f>
        <v>14.449020000000001</v>
      </c>
      <c r="F104">
        <f>Table1[[#This Row],[Vout]]*(Table1[[#This Row],[Imin]]+Table1[[#This Row],[Ripple Current (A)]])</f>
        <v>172.87199999999999</v>
      </c>
      <c r="G104" s="1">
        <f>Table1[[#This Row],[Pout]]/Frequency</f>
        <v>2.8811999999999997E-2</v>
      </c>
      <c r="H104" s="1">
        <f>Table1[[#This Row],[Duty]]/Frequency</f>
        <v>8.1666666666666669E-5</v>
      </c>
      <c r="I104" s="1">
        <f>Table1[[#This Row],[Pout]]/Vin</f>
        <v>5.88</v>
      </c>
      <c r="J104" s="1">
        <f>Vin*Table1[[#This Row],[Idc]]*Table1[[#This Row],[Time On]]</f>
        <v>1.4117879999999999E-2</v>
      </c>
      <c r="K104" s="1">
        <f>Table1[[#This Row],[Energy/Cycle]]-Table1[[#This Row],[Edc]]</f>
        <v>1.4694119999999998E-2</v>
      </c>
      <c r="L104" s="1">
        <f>2*Table1[[#This Row],[E Capacitor]]/(Vin^2-(Vin-V_ripple)^2)</f>
        <v>5.0844705882352979E-4</v>
      </c>
      <c r="M104" s="1">
        <f>Table1[[#This Row],[Energy/Cycle]]-(Table1[[#This Row],[E Capacitor]]+Table1[[#This Row],[Edc]])</f>
        <v>0</v>
      </c>
      <c r="N10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5.9165848119052598</v>
      </c>
    </row>
    <row r="105" spans="1:14" x14ac:dyDescent="0.25">
      <c r="A105">
        <v>0.495</v>
      </c>
      <c r="B105">
        <f t="shared" si="3"/>
        <v>14.552999999999999</v>
      </c>
      <c r="C105">
        <f>(Vin-Table1[[#This Row],[Vout]])*Table1[[#This Row],[Duty]]/(Frequency*Inductance)</f>
        <v>2.4497550000000001</v>
      </c>
      <c r="D105">
        <f>Irms-Table1[[#This Row],[Ripple Current (A)]]</f>
        <v>9.5502450000000003</v>
      </c>
      <c r="E105">
        <f>Irms+Table1[[#This Row],[Ripple Current (A)]]</f>
        <v>14.449755</v>
      </c>
      <c r="F105">
        <f>Table1[[#This Row],[Vout]]*(Table1[[#This Row],[Imin]]+Table1[[#This Row],[Ripple Current (A)]])</f>
        <v>174.636</v>
      </c>
      <c r="G105" s="1">
        <f>Table1[[#This Row],[Pout]]/Frequency</f>
        <v>2.9106E-2</v>
      </c>
      <c r="H105" s="1">
        <f>Table1[[#This Row],[Duty]]/Frequency</f>
        <v>8.25E-5</v>
      </c>
      <c r="I105" s="1">
        <f>Table1[[#This Row],[Pout]]/Vin</f>
        <v>5.94</v>
      </c>
      <c r="J105" s="1">
        <f>Vin*Table1[[#This Row],[Idc]]*Table1[[#This Row],[Time On]]</f>
        <v>1.440747E-2</v>
      </c>
      <c r="K105" s="1">
        <f>Table1[[#This Row],[Energy/Cycle]]-Table1[[#This Row],[Edc]]</f>
        <v>1.469853E-2</v>
      </c>
      <c r="L105" s="1">
        <f>2*Table1[[#This Row],[E Capacitor]]/(Vin^2-(Vin-V_ripple)^2)</f>
        <v>5.0859965397923913E-4</v>
      </c>
      <c r="M105" s="1">
        <f>Table1[[#This Row],[Energy/Cycle]]-(Table1[[#This Row],[E Capacitor]]+Table1[[#This Row],[Edc]])</f>
        <v>0</v>
      </c>
      <c r="N10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5.9166025363037429</v>
      </c>
    </row>
    <row r="106" spans="1:14" x14ac:dyDescent="0.25">
      <c r="A106">
        <v>0.5</v>
      </c>
      <c r="B106">
        <f t="shared" si="3"/>
        <v>14.7</v>
      </c>
      <c r="C106">
        <f>(Vin-Table1[[#This Row],[Vout]])*Table1[[#This Row],[Duty]]/(Frequency*Inductance)</f>
        <v>2.4499999999999997</v>
      </c>
      <c r="D106">
        <f>Irms-Table1[[#This Row],[Ripple Current (A)]]</f>
        <v>9.5500000000000007</v>
      </c>
      <c r="E106">
        <f>Irms+Table1[[#This Row],[Ripple Current (A)]]</f>
        <v>14.45</v>
      </c>
      <c r="F106">
        <f>Table1[[#This Row],[Vout]]*(Table1[[#This Row],[Imin]]+Table1[[#This Row],[Ripple Current (A)]])</f>
        <v>176.39999999999998</v>
      </c>
      <c r="G106" s="1">
        <f>Table1[[#This Row],[Pout]]/Frequency</f>
        <v>2.9399999999999996E-2</v>
      </c>
      <c r="H106" s="1">
        <f>Table1[[#This Row],[Duty]]/Frequency</f>
        <v>8.3333333333333331E-5</v>
      </c>
      <c r="I106" s="1">
        <f>Table1[[#This Row],[Pout]]/Vin</f>
        <v>5.9999999999999991</v>
      </c>
      <c r="J106" s="1">
        <f>Vin*Table1[[#This Row],[Idc]]*Table1[[#This Row],[Time On]]</f>
        <v>1.4699999999999998E-2</v>
      </c>
      <c r="K106" s="1">
        <f>Table1[[#This Row],[Energy/Cycle]]-Table1[[#This Row],[Edc]]</f>
        <v>1.4699999999999998E-2</v>
      </c>
      <c r="L106" s="1">
        <f>2*Table1[[#This Row],[E Capacitor]]/(Vin^2-(Vin-V_ripple)^2)</f>
        <v>5.0865051903114221E-4</v>
      </c>
      <c r="M106" s="1">
        <f>Table1[[#This Row],[Energy/Cycle]]-(Table1[[#This Row],[E Capacitor]]+Table1[[#This Row],[Edc]])</f>
        <v>0</v>
      </c>
      <c r="N10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5.916044568234196</v>
      </c>
    </row>
    <row r="107" spans="1:14" x14ac:dyDescent="0.25">
      <c r="A107">
        <v>0.505</v>
      </c>
      <c r="B107">
        <f t="shared" si="3"/>
        <v>14.847</v>
      </c>
      <c r="C107">
        <f>(Vin-Table1[[#This Row],[Vout]])*Table1[[#This Row],[Duty]]/(Frequency*Inductance)</f>
        <v>2.4497550000000001</v>
      </c>
      <c r="D107">
        <f>Irms-Table1[[#This Row],[Ripple Current (A)]]</f>
        <v>9.5502450000000003</v>
      </c>
      <c r="E107">
        <f>Irms+Table1[[#This Row],[Ripple Current (A)]]</f>
        <v>14.449755</v>
      </c>
      <c r="F107">
        <f>Table1[[#This Row],[Vout]]*(Table1[[#This Row],[Imin]]+Table1[[#This Row],[Ripple Current (A)]])</f>
        <v>178.16399999999999</v>
      </c>
      <c r="G107" s="1">
        <f>Table1[[#This Row],[Pout]]/Frequency</f>
        <v>2.9693999999999998E-2</v>
      </c>
      <c r="H107" s="1">
        <f>Table1[[#This Row],[Duty]]/Frequency</f>
        <v>8.4166666666666662E-5</v>
      </c>
      <c r="I107" s="1">
        <f>Table1[[#This Row],[Pout]]/Vin</f>
        <v>6.06</v>
      </c>
      <c r="J107" s="1">
        <f>Vin*Table1[[#This Row],[Idc]]*Table1[[#This Row],[Time On]]</f>
        <v>1.4995469999999999E-2</v>
      </c>
      <c r="K107" s="1">
        <f>Table1[[#This Row],[Energy/Cycle]]-Table1[[#This Row],[Edc]]</f>
        <v>1.469853E-2</v>
      </c>
      <c r="L107" s="1">
        <f>2*Table1[[#This Row],[E Capacitor]]/(Vin^2-(Vin-V_ripple)^2)</f>
        <v>5.0859965397923913E-4</v>
      </c>
      <c r="M107" s="1">
        <f>Table1[[#This Row],[Energy/Cycle]]-(Table1[[#This Row],[E Capacitor]]+Table1[[#This Row],[Edc]])</f>
        <v>0</v>
      </c>
      <c r="N10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5.9149117694796711</v>
      </c>
    </row>
    <row r="108" spans="1:14" x14ac:dyDescent="0.25">
      <c r="A108">
        <v>0.51</v>
      </c>
      <c r="B108">
        <f t="shared" si="3"/>
        <v>14.994</v>
      </c>
      <c r="C108">
        <f>(Vin-Table1[[#This Row],[Vout]])*Table1[[#This Row],[Duty]]/(Frequency*Inductance)</f>
        <v>2.44902</v>
      </c>
      <c r="D108">
        <f>Irms-Table1[[#This Row],[Ripple Current (A)]]</f>
        <v>9.5509799999999991</v>
      </c>
      <c r="E108">
        <f>Irms+Table1[[#This Row],[Ripple Current (A)]]</f>
        <v>14.449020000000001</v>
      </c>
      <c r="F108">
        <f>Table1[[#This Row],[Vout]]*(Table1[[#This Row],[Imin]]+Table1[[#This Row],[Ripple Current (A)]])</f>
        <v>179.928</v>
      </c>
      <c r="G108" s="1">
        <f>Table1[[#This Row],[Pout]]/Frequency</f>
        <v>2.9988000000000001E-2</v>
      </c>
      <c r="H108" s="1">
        <f>Table1[[#This Row],[Duty]]/Frequency</f>
        <v>8.5000000000000006E-5</v>
      </c>
      <c r="I108" s="1">
        <f>Table1[[#This Row],[Pout]]/Vin</f>
        <v>6.12</v>
      </c>
      <c r="J108" s="1">
        <f>Vin*Table1[[#This Row],[Idc]]*Table1[[#This Row],[Time On]]</f>
        <v>1.5293880000000001E-2</v>
      </c>
      <c r="K108" s="1">
        <f>Table1[[#This Row],[Energy/Cycle]]-Table1[[#This Row],[Edc]]</f>
        <v>1.469412E-2</v>
      </c>
      <c r="L108" s="1">
        <f>2*Table1[[#This Row],[E Capacitor]]/(Vin^2-(Vin-V_ripple)^2)</f>
        <v>5.0844705882352979E-4</v>
      </c>
      <c r="M108" s="1">
        <f>Table1[[#This Row],[Energy/Cycle]]-(Table1[[#This Row],[E Capacitor]]+Table1[[#This Row],[Edc]])</f>
        <v>0</v>
      </c>
      <c r="N10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5.9132048143736737</v>
      </c>
    </row>
    <row r="109" spans="1:14" x14ac:dyDescent="0.25">
      <c r="A109">
        <v>0.51500000000000001</v>
      </c>
      <c r="B109">
        <f t="shared" si="3"/>
        <v>15.141</v>
      </c>
      <c r="C109">
        <f>(Vin-Table1[[#This Row],[Vout]])*Table1[[#This Row],[Duty]]/(Frequency*Inductance)</f>
        <v>2.4477949999999997</v>
      </c>
      <c r="D109">
        <f>Irms-Table1[[#This Row],[Ripple Current (A)]]</f>
        <v>9.5522050000000007</v>
      </c>
      <c r="E109">
        <f>Irms+Table1[[#This Row],[Ripple Current (A)]]</f>
        <v>14.447794999999999</v>
      </c>
      <c r="F109">
        <f>Table1[[#This Row],[Vout]]*(Table1[[#This Row],[Imin]]+Table1[[#This Row],[Ripple Current (A)]])</f>
        <v>181.69200000000001</v>
      </c>
      <c r="G109" s="1">
        <f>Table1[[#This Row],[Pout]]/Frequency</f>
        <v>3.0282E-2</v>
      </c>
      <c r="H109" s="1">
        <f>Table1[[#This Row],[Duty]]/Frequency</f>
        <v>8.5833333333333337E-5</v>
      </c>
      <c r="I109" s="1">
        <f>Table1[[#This Row],[Pout]]/Vin</f>
        <v>6.1800000000000006</v>
      </c>
      <c r="J109" s="1">
        <f>Vin*Table1[[#This Row],[Idc]]*Table1[[#This Row],[Time On]]</f>
        <v>1.5595230000000002E-2</v>
      </c>
      <c r="K109" s="1">
        <f>Table1[[#This Row],[Energy/Cycle]]-Table1[[#This Row],[Edc]]</f>
        <v>1.4686769999999998E-2</v>
      </c>
      <c r="L109" s="1">
        <f>2*Table1[[#This Row],[E Capacitor]]/(Vin^2-(Vin-V_ripple)^2)</f>
        <v>5.081927335640142E-4</v>
      </c>
      <c r="M109" s="1">
        <f>Table1[[#This Row],[Energy/Cycle]]-(Table1[[#This Row],[E Capacitor]]+Table1[[#This Row],[Edc]])</f>
        <v>0</v>
      </c>
      <c r="N10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5.9109241892605686</v>
      </c>
    </row>
    <row r="110" spans="1:14" x14ac:dyDescent="0.25">
      <c r="A110">
        <v>0.52</v>
      </c>
      <c r="B110">
        <f t="shared" si="3"/>
        <v>15.288</v>
      </c>
      <c r="C110">
        <f>(Vin-Table1[[#This Row],[Vout]])*Table1[[#This Row],[Duty]]/(Frequency*Inductance)</f>
        <v>2.4460799999999998</v>
      </c>
      <c r="D110">
        <f>Irms-Table1[[#This Row],[Ripple Current (A)]]</f>
        <v>9.5539199999999997</v>
      </c>
      <c r="E110">
        <f>Irms+Table1[[#This Row],[Ripple Current (A)]]</f>
        <v>14.44608</v>
      </c>
      <c r="F110">
        <f>Table1[[#This Row],[Vout]]*(Table1[[#This Row],[Imin]]+Table1[[#This Row],[Ripple Current (A)]])</f>
        <v>183.45600000000002</v>
      </c>
      <c r="G110" s="1">
        <f>Table1[[#This Row],[Pout]]/Frequency</f>
        <v>3.0576000000000002E-2</v>
      </c>
      <c r="H110" s="1">
        <f>Table1[[#This Row],[Duty]]/Frequency</f>
        <v>8.6666666666666668E-5</v>
      </c>
      <c r="I110" s="1">
        <f>Table1[[#This Row],[Pout]]/Vin</f>
        <v>6.2400000000000011</v>
      </c>
      <c r="J110" s="1">
        <f>Vin*Table1[[#This Row],[Idc]]*Table1[[#This Row],[Time On]]</f>
        <v>1.589952E-2</v>
      </c>
      <c r="K110" s="1">
        <f>Table1[[#This Row],[Energy/Cycle]]-Table1[[#This Row],[Edc]]</f>
        <v>1.4676480000000002E-2</v>
      </c>
      <c r="L110" s="1">
        <f>2*Table1[[#This Row],[E Capacitor]]/(Vin^2-(Vin-V_ripple)^2)</f>
        <v>5.0783667820069255E-4</v>
      </c>
      <c r="M110" s="1">
        <f>Table1[[#This Row],[Energy/Cycle]]-(Table1[[#This Row],[E Capacitor]]+Table1[[#This Row],[Edc]])</f>
        <v>0</v>
      </c>
      <c r="N11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5.9080701916805287</v>
      </c>
    </row>
    <row r="111" spans="1:14" x14ac:dyDescent="0.25">
      <c r="A111">
        <v>0.52500000000000002</v>
      </c>
      <c r="B111">
        <f t="shared" si="3"/>
        <v>15.435</v>
      </c>
      <c r="C111">
        <f>(Vin-Table1[[#This Row],[Vout]])*Table1[[#This Row],[Duty]]/(Frequency*Inductance)</f>
        <v>2.4438749999999998</v>
      </c>
      <c r="D111">
        <f>Irms-Table1[[#This Row],[Ripple Current (A)]]</f>
        <v>9.5561249999999998</v>
      </c>
      <c r="E111">
        <f>Irms+Table1[[#This Row],[Ripple Current (A)]]</f>
        <v>14.443875</v>
      </c>
      <c r="F111">
        <f>Table1[[#This Row],[Vout]]*(Table1[[#This Row],[Imin]]+Table1[[#This Row],[Ripple Current (A)]])</f>
        <v>185.22</v>
      </c>
      <c r="G111" s="1">
        <f>Table1[[#This Row],[Pout]]/Frequency</f>
        <v>3.0869999999999998E-2</v>
      </c>
      <c r="H111" s="1">
        <f>Table1[[#This Row],[Duty]]/Frequency</f>
        <v>8.7499999999999999E-5</v>
      </c>
      <c r="I111" s="1">
        <f>Table1[[#This Row],[Pout]]/Vin</f>
        <v>6.3</v>
      </c>
      <c r="J111" s="1">
        <f>Vin*Table1[[#This Row],[Idc]]*Table1[[#This Row],[Time On]]</f>
        <v>1.6206749999999999E-2</v>
      </c>
      <c r="K111" s="1">
        <f>Table1[[#This Row],[Energy/Cycle]]-Table1[[#This Row],[Edc]]</f>
        <v>1.4663249999999999E-2</v>
      </c>
      <c r="L111" s="1">
        <f>2*Table1[[#This Row],[E Capacitor]]/(Vin^2-(Vin-V_ripple)^2)</f>
        <v>5.0737889273356443E-4</v>
      </c>
      <c r="M111" s="1">
        <f>Table1[[#This Row],[Energy/Cycle]]-(Table1[[#This Row],[E Capacitor]]+Table1[[#This Row],[Edc]])</f>
        <v>0</v>
      </c>
      <c r="N11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5.9046429292774025</v>
      </c>
    </row>
    <row r="112" spans="1:14" x14ac:dyDescent="0.25">
      <c r="A112">
        <v>0.53</v>
      </c>
      <c r="B112">
        <f t="shared" si="3"/>
        <v>15.582000000000001</v>
      </c>
      <c r="C112">
        <f>(Vin-Table1[[#This Row],[Vout]])*Table1[[#This Row],[Duty]]/(Frequency*Inductance)</f>
        <v>2.4411799999999997</v>
      </c>
      <c r="D112">
        <f>Irms-Table1[[#This Row],[Ripple Current (A)]]</f>
        <v>9.5588200000000008</v>
      </c>
      <c r="E112">
        <f>Irms+Table1[[#This Row],[Ripple Current (A)]]</f>
        <v>14.441179999999999</v>
      </c>
      <c r="F112">
        <f>Table1[[#This Row],[Vout]]*(Table1[[#This Row],[Imin]]+Table1[[#This Row],[Ripple Current (A)]])</f>
        <v>186.98400000000001</v>
      </c>
      <c r="G112" s="1">
        <f>Table1[[#This Row],[Pout]]/Frequency</f>
        <v>3.1164000000000001E-2</v>
      </c>
      <c r="H112" s="1">
        <f>Table1[[#This Row],[Duty]]/Frequency</f>
        <v>8.8333333333333344E-5</v>
      </c>
      <c r="I112" s="1">
        <f>Table1[[#This Row],[Pout]]/Vin</f>
        <v>6.36</v>
      </c>
      <c r="J112" s="1">
        <f>Vin*Table1[[#This Row],[Idc]]*Table1[[#This Row],[Time On]]</f>
        <v>1.6516920000000004E-2</v>
      </c>
      <c r="K112" s="1">
        <f>Table1[[#This Row],[Energy/Cycle]]-Table1[[#This Row],[Edc]]</f>
        <v>1.4647079999999996E-2</v>
      </c>
      <c r="L112" s="1">
        <f>2*Table1[[#This Row],[E Capacitor]]/(Vin^2-(Vin-V_ripple)^2)</f>
        <v>5.0681937716263005E-4</v>
      </c>
      <c r="M112" s="1">
        <f>Table1[[#This Row],[Energy/Cycle]]-(Table1[[#This Row],[E Capacitor]]+Table1[[#This Row],[Edc]])</f>
        <v>0</v>
      </c>
      <c r="N11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5.9006423184268106</v>
      </c>
    </row>
    <row r="113" spans="1:14" x14ac:dyDescent="0.25">
      <c r="A113">
        <v>0.53500000000000003</v>
      </c>
      <c r="B113">
        <f t="shared" si="3"/>
        <v>15.729000000000001</v>
      </c>
      <c r="C113">
        <f>(Vin-Table1[[#This Row],[Vout]])*Table1[[#This Row],[Duty]]/(Frequency*Inductance)</f>
        <v>2.4379949999999995</v>
      </c>
      <c r="D113">
        <f>Irms-Table1[[#This Row],[Ripple Current (A)]]</f>
        <v>9.562005000000001</v>
      </c>
      <c r="E113">
        <f>Irms+Table1[[#This Row],[Ripple Current (A)]]</f>
        <v>14.437994999999999</v>
      </c>
      <c r="F113">
        <f>Table1[[#This Row],[Vout]]*(Table1[[#This Row],[Imin]]+Table1[[#This Row],[Ripple Current (A)]])</f>
        <v>188.74800000000002</v>
      </c>
      <c r="G113" s="1">
        <f>Table1[[#This Row],[Pout]]/Frequency</f>
        <v>3.1458E-2</v>
      </c>
      <c r="H113" s="1">
        <f>Table1[[#This Row],[Duty]]/Frequency</f>
        <v>8.9166666666666675E-5</v>
      </c>
      <c r="I113" s="1">
        <f>Table1[[#This Row],[Pout]]/Vin</f>
        <v>6.4200000000000008</v>
      </c>
      <c r="J113" s="1">
        <f>Vin*Table1[[#This Row],[Idc]]*Table1[[#This Row],[Time On]]</f>
        <v>1.6830030000000003E-2</v>
      </c>
      <c r="K113" s="1">
        <f>Table1[[#This Row],[Energy/Cycle]]-Table1[[#This Row],[Edc]]</f>
        <v>1.4627969999999997E-2</v>
      </c>
      <c r="L113" s="1">
        <f>2*Table1[[#This Row],[E Capacitor]]/(Vin^2-(Vin-V_ripple)^2)</f>
        <v>5.0615813148788952E-4</v>
      </c>
      <c r="M113" s="1">
        <f>Table1[[#This Row],[Energy/Cycle]]-(Table1[[#This Row],[E Capacitor]]+Table1[[#This Row],[Edc]])</f>
        <v>0</v>
      </c>
      <c r="N11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5.8960680825808716</v>
      </c>
    </row>
    <row r="114" spans="1:14" x14ac:dyDescent="0.25">
      <c r="A114">
        <v>0.54</v>
      </c>
      <c r="B114">
        <f t="shared" si="3"/>
        <v>15.875999999999999</v>
      </c>
      <c r="C114">
        <f>(Vin-Table1[[#This Row],[Vout]])*Table1[[#This Row],[Duty]]/(Frequency*Inductance)</f>
        <v>2.43432</v>
      </c>
      <c r="D114">
        <f>Irms-Table1[[#This Row],[Ripple Current (A)]]</f>
        <v>9.5656800000000004</v>
      </c>
      <c r="E114">
        <f>Irms+Table1[[#This Row],[Ripple Current (A)]]</f>
        <v>14.43432</v>
      </c>
      <c r="F114">
        <f>Table1[[#This Row],[Vout]]*(Table1[[#This Row],[Imin]]+Table1[[#This Row],[Ripple Current (A)]])</f>
        <v>190.512</v>
      </c>
      <c r="G114" s="1">
        <f>Table1[[#This Row],[Pout]]/Frequency</f>
        <v>3.1752000000000002E-2</v>
      </c>
      <c r="H114" s="1">
        <f>Table1[[#This Row],[Duty]]/Frequency</f>
        <v>9.0000000000000006E-5</v>
      </c>
      <c r="I114" s="1">
        <f>Table1[[#This Row],[Pout]]/Vin</f>
        <v>6.48</v>
      </c>
      <c r="J114" s="1">
        <f>Vin*Table1[[#This Row],[Idc]]*Table1[[#This Row],[Time On]]</f>
        <v>1.7146080000000001E-2</v>
      </c>
      <c r="K114" s="1">
        <f>Table1[[#This Row],[Energy/Cycle]]-Table1[[#This Row],[Edc]]</f>
        <v>1.4605920000000001E-2</v>
      </c>
      <c r="L114" s="1">
        <f>2*Table1[[#This Row],[E Capacitor]]/(Vin^2-(Vin-V_ripple)^2)</f>
        <v>5.0539515570934305E-4</v>
      </c>
      <c r="M114" s="1">
        <f>Table1[[#This Row],[Energy/Cycle]]-(Table1[[#This Row],[E Capacitor]]+Table1[[#This Row],[Edc]])</f>
        <v>0</v>
      </c>
      <c r="N11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5.8909197503249011</v>
      </c>
    </row>
    <row r="115" spans="1:14" x14ac:dyDescent="0.25">
      <c r="A115">
        <v>0.54500000000000004</v>
      </c>
      <c r="B115">
        <f t="shared" si="3"/>
        <v>16.023</v>
      </c>
      <c r="C115">
        <f>(Vin-Table1[[#This Row],[Vout]])*Table1[[#This Row],[Duty]]/(Frequency*Inductance)</f>
        <v>2.4301550000000001</v>
      </c>
      <c r="D115">
        <f>Irms-Table1[[#This Row],[Ripple Current (A)]]</f>
        <v>9.5698450000000008</v>
      </c>
      <c r="E115">
        <f>Irms+Table1[[#This Row],[Ripple Current (A)]]</f>
        <v>14.430154999999999</v>
      </c>
      <c r="F115">
        <f>Table1[[#This Row],[Vout]]*(Table1[[#This Row],[Imin]]+Table1[[#This Row],[Ripple Current (A)]])</f>
        <v>192.27600000000001</v>
      </c>
      <c r="G115" s="1">
        <f>Table1[[#This Row],[Pout]]/Frequency</f>
        <v>3.2046000000000005E-2</v>
      </c>
      <c r="H115" s="1">
        <f>Table1[[#This Row],[Duty]]/Frequency</f>
        <v>9.0833333333333337E-5</v>
      </c>
      <c r="I115" s="1">
        <f>Table1[[#This Row],[Pout]]/Vin</f>
        <v>6.5400000000000009</v>
      </c>
      <c r="J115" s="1">
        <f>Vin*Table1[[#This Row],[Idc]]*Table1[[#This Row],[Time On]]</f>
        <v>1.7465070000000003E-2</v>
      </c>
      <c r="K115" s="1">
        <f>Table1[[#This Row],[Energy/Cycle]]-Table1[[#This Row],[Edc]]</f>
        <v>1.4580930000000002E-2</v>
      </c>
      <c r="L115" s="1">
        <f>2*Table1[[#This Row],[E Capacitor]]/(Vin^2-(Vin-V_ripple)^2)</f>
        <v>5.0453044982699011E-4</v>
      </c>
      <c r="M115" s="1">
        <f>Table1[[#This Row],[Energy/Cycle]]-(Table1[[#This Row],[E Capacitor]]+Table1[[#This Row],[Edc]])</f>
        <v>0</v>
      </c>
      <c r="N11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5.8851966531404418</v>
      </c>
    </row>
    <row r="116" spans="1:14" x14ac:dyDescent="0.25">
      <c r="A116">
        <v>0.55000000000000004</v>
      </c>
      <c r="B116">
        <f t="shared" si="3"/>
        <v>16.170000000000002</v>
      </c>
      <c r="C116">
        <f>(Vin-Table1[[#This Row],[Vout]])*Table1[[#This Row],[Duty]]/(Frequency*Inductance)</f>
        <v>2.4254999999999995</v>
      </c>
      <c r="D116">
        <f>Irms-Table1[[#This Row],[Ripple Current (A)]]</f>
        <v>9.5745000000000005</v>
      </c>
      <c r="E116">
        <f>Irms+Table1[[#This Row],[Ripple Current (A)]]</f>
        <v>14.4255</v>
      </c>
      <c r="F116">
        <f>Table1[[#This Row],[Vout]]*(Table1[[#This Row],[Imin]]+Table1[[#This Row],[Ripple Current (A)]])</f>
        <v>194.04000000000002</v>
      </c>
      <c r="G116" s="1">
        <f>Table1[[#This Row],[Pout]]/Frequency</f>
        <v>3.2340000000000001E-2</v>
      </c>
      <c r="H116" s="1">
        <f>Table1[[#This Row],[Duty]]/Frequency</f>
        <v>9.1666666666666668E-5</v>
      </c>
      <c r="I116" s="1">
        <f>Table1[[#This Row],[Pout]]/Vin</f>
        <v>6.6000000000000014</v>
      </c>
      <c r="J116" s="1">
        <f>Vin*Table1[[#This Row],[Idc]]*Table1[[#This Row],[Time On]]</f>
        <v>1.7787000000000001E-2</v>
      </c>
      <c r="K116" s="1">
        <f>Table1[[#This Row],[Energy/Cycle]]-Table1[[#This Row],[Edc]]</f>
        <v>1.4553E-2</v>
      </c>
      <c r="L116" s="1">
        <f>2*Table1[[#This Row],[E Capacitor]]/(Vin^2-(Vin-V_ripple)^2)</f>
        <v>5.035640138408309E-4</v>
      </c>
      <c r="M116" s="1">
        <f>Table1[[#This Row],[Energy/Cycle]]-(Table1[[#This Row],[E Capacitor]]+Table1[[#This Row],[Edc]])</f>
        <v>0</v>
      </c>
      <c r="N11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5.8788979228678562</v>
      </c>
    </row>
    <row r="117" spans="1:14" x14ac:dyDescent="0.25">
      <c r="A117">
        <v>0.55500000000000005</v>
      </c>
      <c r="B117">
        <f t="shared" si="3"/>
        <v>16.317</v>
      </c>
      <c r="C117">
        <f>(Vin-Table1[[#This Row],[Vout]])*Table1[[#This Row],[Duty]]/(Frequency*Inductance)</f>
        <v>2.4203549999999998</v>
      </c>
      <c r="D117">
        <f>Irms-Table1[[#This Row],[Ripple Current (A)]]</f>
        <v>9.5796449999999993</v>
      </c>
      <c r="E117">
        <f>Irms+Table1[[#This Row],[Ripple Current (A)]]</f>
        <v>14.420355000000001</v>
      </c>
      <c r="F117">
        <f>Table1[[#This Row],[Vout]]*(Table1[[#This Row],[Imin]]+Table1[[#This Row],[Ripple Current (A)]])</f>
        <v>195.804</v>
      </c>
      <c r="G117" s="1">
        <f>Table1[[#This Row],[Pout]]/Frequency</f>
        <v>3.2634000000000003E-2</v>
      </c>
      <c r="H117" s="1">
        <f>Table1[[#This Row],[Duty]]/Frequency</f>
        <v>9.2500000000000012E-5</v>
      </c>
      <c r="I117" s="1">
        <f>Table1[[#This Row],[Pout]]/Vin</f>
        <v>6.66</v>
      </c>
      <c r="J117" s="1">
        <f>Vin*Table1[[#This Row],[Idc]]*Table1[[#This Row],[Time On]]</f>
        <v>1.8111870000000002E-2</v>
      </c>
      <c r="K117" s="1">
        <f>Table1[[#This Row],[Energy/Cycle]]-Table1[[#This Row],[Edc]]</f>
        <v>1.4522130000000001E-2</v>
      </c>
      <c r="L117" s="1">
        <f>2*Table1[[#This Row],[E Capacitor]]/(Vin^2-(Vin-V_ripple)^2)</f>
        <v>5.0249584775086554E-4</v>
      </c>
      <c r="M117" s="1">
        <f>Table1[[#This Row],[Energy/Cycle]]-(Table1[[#This Row],[E Capacitor]]+Table1[[#This Row],[Edc]])</f>
        <v>0</v>
      </c>
      <c r="N11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5.8720224888606625</v>
      </c>
    </row>
    <row r="118" spans="1:14" x14ac:dyDescent="0.25">
      <c r="A118">
        <v>0.56000000000000005</v>
      </c>
      <c r="B118">
        <f t="shared" si="3"/>
        <v>16.464000000000002</v>
      </c>
      <c r="C118">
        <f>(Vin-Table1[[#This Row],[Vout]])*Table1[[#This Row],[Duty]]/(Frequency*Inductance)</f>
        <v>2.4147199999999995</v>
      </c>
      <c r="D118">
        <f>Irms-Table1[[#This Row],[Ripple Current (A)]]</f>
        <v>9.5852800000000009</v>
      </c>
      <c r="E118">
        <f>Irms+Table1[[#This Row],[Ripple Current (A)]]</f>
        <v>14.414719999999999</v>
      </c>
      <c r="F118">
        <f>Table1[[#This Row],[Vout]]*(Table1[[#This Row],[Imin]]+Table1[[#This Row],[Ripple Current (A)]])</f>
        <v>197.56800000000004</v>
      </c>
      <c r="G118" s="1">
        <f>Table1[[#This Row],[Pout]]/Frequency</f>
        <v>3.2928000000000006E-2</v>
      </c>
      <c r="H118" s="1">
        <f>Table1[[#This Row],[Duty]]/Frequency</f>
        <v>9.3333333333333343E-5</v>
      </c>
      <c r="I118" s="1">
        <f>Table1[[#This Row],[Pout]]/Vin</f>
        <v>6.7200000000000015</v>
      </c>
      <c r="J118" s="1">
        <f>Vin*Table1[[#This Row],[Idc]]*Table1[[#This Row],[Time On]]</f>
        <v>1.8439680000000007E-2</v>
      </c>
      <c r="K118" s="1">
        <f>Table1[[#This Row],[Energy/Cycle]]-Table1[[#This Row],[Edc]]</f>
        <v>1.4488319999999999E-2</v>
      </c>
      <c r="L118" s="1">
        <f>2*Table1[[#This Row],[E Capacitor]]/(Vin^2-(Vin-V_ripple)^2)</f>
        <v>5.0132595155709381E-4</v>
      </c>
      <c r="M118" s="1">
        <f>Table1[[#This Row],[Energy/Cycle]]-(Table1[[#This Row],[E Capacitor]]+Table1[[#This Row],[Edc]])</f>
        <v>0</v>
      </c>
      <c r="N11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5.8645690748225769</v>
      </c>
    </row>
    <row r="119" spans="1:14" x14ac:dyDescent="0.25">
      <c r="A119">
        <v>0.56499999999999995</v>
      </c>
      <c r="B119">
        <f t="shared" si="3"/>
        <v>16.610999999999997</v>
      </c>
      <c r="C119">
        <f>(Vin-Table1[[#This Row],[Vout]])*Table1[[#This Row],[Duty]]/(Frequency*Inductance)</f>
        <v>2.408595</v>
      </c>
      <c r="D119">
        <f>Irms-Table1[[#This Row],[Ripple Current (A)]]</f>
        <v>9.591405</v>
      </c>
      <c r="E119">
        <f>Irms+Table1[[#This Row],[Ripple Current (A)]]</f>
        <v>14.408595</v>
      </c>
      <c r="F119">
        <f>Table1[[#This Row],[Vout]]*(Table1[[#This Row],[Imin]]+Table1[[#This Row],[Ripple Current (A)]])</f>
        <v>199.33199999999997</v>
      </c>
      <c r="G119" s="1">
        <f>Table1[[#This Row],[Pout]]/Frequency</f>
        <v>3.3221999999999995E-2</v>
      </c>
      <c r="H119" s="1">
        <f>Table1[[#This Row],[Duty]]/Frequency</f>
        <v>9.4166666666666661E-5</v>
      </c>
      <c r="I119" s="1">
        <f>Table1[[#This Row],[Pout]]/Vin</f>
        <v>6.7799999999999994</v>
      </c>
      <c r="J119" s="1">
        <f>Vin*Table1[[#This Row],[Idc]]*Table1[[#This Row],[Time On]]</f>
        <v>1.8770429999999994E-2</v>
      </c>
      <c r="K119" s="1">
        <f>Table1[[#This Row],[Energy/Cycle]]-Table1[[#This Row],[Edc]]</f>
        <v>1.445157E-2</v>
      </c>
      <c r="L119" s="1">
        <f>2*Table1[[#This Row],[E Capacitor]]/(Vin^2-(Vin-V_ripple)^2)</f>
        <v>5.0005432525951593E-4</v>
      </c>
      <c r="M119" s="1">
        <f>Table1[[#This Row],[Energy/Cycle]]-(Table1[[#This Row],[E Capacitor]]+Table1[[#This Row],[Edc]])</f>
        <v>0</v>
      </c>
      <c r="N11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5.8565361953170436</v>
      </c>
    </row>
    <row r="120" spans="1:14" x14ac:dyDescent="0.25">
      <c r="A120">
        <v>0.56999999999999995</v>
      </c>
      <c r="B120">
        <f t="shared" si="3"/>
        <v>16.757999999999999</v>
      </c>
      <c r="C120">
        <f>(Vin-Table1[[#This Row],[Vout]])*Table1[[#This Row],[Duty]]/(Frequency*Inductance)</f>
        <v>2.4019799999999996</v>
      </c>
      <c r="D120">
        <f>Irms-Table1[[#This Row],[Ripple Current (A)]]</f>
        <v>9.59802</v>
      </c>
      <c r="E120">
        <f>Irms+Table1[[#This Row],[Ripple Current (A)]]</f>
        <v>14.40198</v>
      </c>
      <c r="F120">
        <f>Table1[[#This Row],[Vout]]*(Table1[[#This Row],[Imin]]+Table1[[#This Row],[Ripple Current (A)]])</f>
        <v>201.096</v>
      </c>
      <c r="G120" s="1">
        <f>Table1[[#This Row],[Pout]]/Frequency</f>
        <v>3.3515999999999997E-2</v>
      </c>
      <c r="H120" s="1">
        <f>Table1[[#This Row],[Duty]]/Frequency</f>
        <v>9.4999999999999992E-5</v>
      </c>
      <c r="I120" s="1">
        <f>Table1[[#This Row],[Pout]]/Vin</f>
        <v>6.8400000000000007</v>
      </c>
      <c r="J120" s="1">
        <f>Vin*Table1[[#This Row],[Idc]]*Table1[[#This Row],[Time On]]</f>
        <v>1.9104119999999999E-2</v>
      </c>
      <c r="K120" s="1">
        <f>Table1[[#This Row],[Energy/Cycle]]-Table1[[#This Row],[Edc]]</f>
        <v>1.4411879999999998E-2</v>
      </c>
      <c r="L120" s="1">
        <f>2*Table1[[#This Row],[E Capacitor]]/(Vin^2-(Vin-V_ripple)^2)</f>
        <v>4.9868096885813179E-4</v>
      </c>
      <c r="M120" s="1">
        <f>Table1[[#This Row],[Energy/Cycle]]-(Table1[[#This Row],[E Capacitor]]+Table1[[#This Row],[Edc]])</f>
        <v>0</v>
      </c>
      <c r="N12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5.8479221519377296</v>
      </c>
    </row>
    <row r="121" spans="1:14" x14ac:dyDescent="0.25">
      <c r="A121">
        <v>0.57499999999999996</v>
      </c>
      <c r="B121">
        <f t="shared" si="3"/>
        <v>16.904999999999998</v>
      </c>
      <c r="C121">
        <f>(Vin-Table1[[#This Row],[Vout]])*Table1[[#This Row],[Duty]]/(Frequency*Inductance)</f>
        <v>2.3948749999999999</v>
      </c>
      <c r="D121">
        <f>Irms-Table1[[#This Row],[Ripple Current (A)]]</f>
        <v>9.605125000000001</v>
      </c>
      <c r="E121">
        <f>Irms+Table1[[#This Row],[Ripple Current (A)]]</f>
        <v>14.394874999999999</v>
      </c>
      <c r="F121">
        <f>Table1[[#This Row],[Vout]]*(Table1[[#This Row],[Imin]]+Table1[[#This Row],[Ripple Current (A)]])</f>
        <v>202.85999999999996</v>
      </c>
      <c r="G121" s="1">
        <f>Table1[[#This Row],[Pout]]/Frequency</f>
        <v>3.3809999999999993E-2</v>
      </c>
      <c r="H121" s="1">
        <f>Table1[[#This Row],[Duty]]/Frequency</f>
        <v>9.5833333333333323E-5</v>
      </c>
      <c r="I121" s="1">
        <f>Table1[[#This Row],[Pout]]/Vin</f>
        <v>6.8999999999999986</v>
      </c>
      <c r="J121" s="1">
        <f>Vin*Table1[[#This Row],[Idc]]*Table1[[#This Row],[Time On]]</f>
        <v>1.9440749999999993E-2</v>
      </c>
      <c r="K121" s="1">
        <f>Table1[[#This Row],[Energy/Cycle]]-Table1[[#This Row],[Edc]]</f>
        <v>1.436925E-2</v>
      </c>
      <c r="L121" s="1">
        <f>2*Table1[[#This Row],[E Capacitor]]/(Vin^2-(Vin-V_ripple)^2)</f>
        <v>4.972058823529416E-4</v>
      </c>
      <c r="M121" s="1">
        <f>Table1[[#This Row],[Energy/Cycle]]-(Table1[[#This Row],[E Capacitor]]+Table1[[#This Row],[Edc]])</f>
        <v>0</v>
      </c>
      <c r="N12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5.8387250291270965</v>
      </c>
    </row>
    <row r="122" spans="1:14" x14ac:dyDescent="0.25">
      <c r="A122">
        <v>0.57999999999999996</v>
      </c>
      <c r="B122">
        <f t="shared" si="3"/>
        <v>17.052</v>
      </c>
      <c r="C122">
        <f>(Vin-Table1[[#This Row],[Vout]])*Table1[[#This Row],[Duty]]/(Frequency*Inductance)</f>
        <v>2.3872799999999996</v>
      </c>
      <c r="D122">
        <f>Irms-Table1[[#This Row],[Ripple Current (A)]]</f>
        <v>9.6127199999999995</v>
      </c>
      <c r="E122">
        <f>Irms+Table1[[#This Row],[Ripple Current (A)]]</f>
        <v>14.387280000000001</v>
      </c>
      <c r="F122">
        <f>Table1[[#This Row],[Vout]]*(Table1[[#This Row],[Imin]]+Table1[[#This Row],[Ripple Current (A)]])</f>
        <v>204.624</v>
      </c>
      <c r="G122" s="1">
        <f>Table1[[#This Row],[Pout]]/Frequency</f>
        <v>3.4104000000000002E-2</v>
      </c>
      <c r="H122" s="1">
        <f>Table1[[#This Row],[Duty]]/Frequency</f>
        <v>9.6666666666666654E-5</v>
      </c>
      <c r="I122" s="1">
        <f>Table1[[#This Row],[Pout]]/Vin</f>
        <v>6.96</v>
      </c>
      <c r="J122" s="1">
        <f>Vin*Table1[[#This Row],[Idc]]*Table1[[#This Row],[Time On]]</f>
        <v>1.9780319999999997E-2</v>
      </c>
      <c r="K122" s="1">
        <f>Table1[[#This Row],[Energy/Cycle]]-Table1[[#This Row],[Edc]]</f>
        <v>1.4323680000000005E-2</v>
      </c>
      <c r="L122" s="1">
        <f>2*Table1[[#This Row],[E Capacitor]]/(Vin^2-(Vin-V_ripple)^2)</f>
        <v>4.9562906574394526E-4</v>
      </c>
      <c r="M122" s="1">
        <f>Table1[[#This Row],[Energy/Cycle]]-(Table1[[#This Row],[E Capacitor]]+Table1[[#This Row],[Edc]])</f>
        <v>0</v>
      </c>
      <c r="N12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5.8289426896287111</v>
      </c>
    </row>
    <row r="123" spans="1:14" x14ac:dyDescent="0.25">
      <c r="A123">
        <v>0.58499999999999996</v>
      </c>
      <c r="B123">
        <f t="shared" si="3"/>
        <v>17.198999999999998</v>
      </c>
      <c r="C123">
        <f>(Vin-Table1[[#This Row],[Vout]])*Table1[[#This Row],[Duty]]/(Frequency*Inductance)</f>
        <v>2.3791949999999997</v>
      </c>
      <c r="D123">
        <f>Irms-Table1[[#This Row],[Ripple Current (A)]]</f>
        <v>9.6208050000000007</v>
      </c>
      <c r="E123">
        <f>Irms+Table1[[#This Row],[Ripple Current (A)]]</f>
        <v>14.379194999999999</v>
      </c>
      <c r="F123">
        <f>Table1[[#This Row],[Vout]]*(Table1[[#This Row],[Imin]]+Table1[[#This Row],[Ripple Current (A)]])</f>
        <v>206.38799999999998</v>
      </c>
      <c r="G123" s="1">
        <f>Table1[[#This Row],[Pout]]/Frequency</f>
        <v>3.4397999999999998E-2</v>
      </c>
      <c r="H123" s="1">
        <f>Table1[[#This Row],[Duty]]/Frequency</f>
        <v>9.7499999999999998E-5</v>
      </c>
      <c r="I123" s="1">
        <f>Table1[[#This Row],[Pout]]/Vin</f>
        <v>7.02</v>
      </c>
      <c r="J123" s="1">
        <f>Vin*Table1[[#This Row],[Idc]]*Table1[[#This Row],[Time On]]</f>
        <v>2.0122829999999998E-2</v>
      </c>
      <c r="K123" s="1">
        <f>Table1[[#This Row],[Energy/Cycle]]-Table1[[#This Row],[Edc]]</f>
        <v>1.427517E-2</v>
      </c>
      <c r="L123" s="1">
        <f>2*Table1[[#This Row],[E Capacitor]]/(Vin^2-(Vin-V_ripple)^2)</f>
        <v>4.9395051903114223E-4</v>
      </c>
      <c r="M123" s="1">
        <f>Table1[[#This Row],[Energy/Cycle]]-(Table1[[#This Row],[E Capacitor]]+Table1[[#This Row],[Edc]])</f>
        <v>0</v>
      </c>
      <c r="N12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5.8185727695574219</v>
      </c>
    </row>
    <row r="124" spans="1:14" x14ac:dyDescent="0.25">
      <c r="A124">
        <v>0.59</v>
      </c>
      <c r="B124">
        <f t="shared" si="3"/>
        <v>17.345999999999997</v>
      </c>
      <c r="C124">
        <f>(Vin-Table1[[#This Row],[Vout]])*Table1[[#This Row],[Duty]]/(Frequency*Inductance)</f>
        <v>2.3706200000000002</v>
      </c>
      <c r="D124">
        <f>Irms-Table1[[#This Row],[Ripple Current (A)]]</f>
        <v>9.6293799999999994</v>
      </c>
      <c r="E124">
        <f>Irms+Table1[[#This Row],[Ripple Current (A)]]</f>
        <v>14.370620000000001</v>
      </c>
      <c r="F124">
        <f>Table1[[#This Row],[Vout]]*(Table1[[#This Row],[Imin]]+Table1[[#This Row],[Ripple Current (A)]])</f>
        <v>208.15199999999996</v>
      </c>
      <c r="G124" s="1">
        <f>Table1[[#This Row],[Pout]]/Frequency</f>
        <v>3.4691999999999994E-2</v>
      </c>
      <c r="H124" s="1">
        <f>Table1[[#This Row],[Duty]]/Frequency</f>
        <v>9.8333333333333329E-5</v>
      </c>
      <c r="I124" s="1">
        <f>Table1[[#This Row],[Pout]]/Vin</f>
        <v>7.0799999999999992</v>
      </c>
      <c r="J124" s="1">
        <f>Vin*Table1[[#This Row],[Idc]]*Table1[[#This Row],[Time On]]</f>
        <v>2.0468279999999995E-2</v>
      </c>
      <c r="K124" s="1">
        <f>Table1[[#This Row],[Energy/Cycle]]-Table1[[#This Row],[Edc]]</f>
        <v>1.4223719999999999E-2</v>
      </c>
      <c r="L124" s="1">
        <f>2*Table1[[#This Row],[E Capacitor]]/(Vin^2-(Vin-V_ripple)^2)</f>
        <v>4.9217024221453326E-4</v>
      </c>
      <c r="M124" s="1">
        <f>Table1[[#This Row],[Energy/Cycle]]-(Table1[[#This Row],[E Capacitor]]+Table1[[#This Row],[Edc]])</f>
        <v>0</v>
      </c>
      <c r="N12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5.8076126730698325</v>
      </c>
    </row>
    <row r="125" spans="1:14" x14ac:dyDescent="0.25">
      <c r="A125">
        <v>0.59499999999999997</v>
      </c>
      <c r="B125">
        <f t="shared" si="3"/>
        <v>17.492999999999999</v>
      </c>
      <c r="C125">
        <f>(Vin-Table1[[#This Row],[Vout]])*Table1[[#This Row],[Duty]]/(Frequency*Inductance)</f>
        <v>2.3615549999999996</v>
      </c>
      <c r="D125">
        <f>Irms-Table1[[#This Row],[Ripple Current (A)]]</f>
        <v>9.6384450000000008</v>
      </c>
      <c r="E125">
        <f>Irms+Table1[[#This Row],[Ripple Current (A)]]</f>
        <v>14.361554999999999</v>
      </c>
      <c r="F125">
        <f>Table1[[#This Row],[Vout]]*(Table1[[#This Row],[Imin]]+Table1[[#This Row],[Ripple Current (A)]])</f>
        <v>209.916</v>
      </c>
      <c r="G125" s="1">
        <f>Table1[[#This Row],[Pout]]/Frequency</f>
        <v>3.4985999999999996E-2</v>
      </c>
      <c r="H125" s="1">
        <f>Table1[[#This Row],[Duty]]/Frequency</f>
        <v>9.916666666666666E-5</v>
      </c>
      <c r="I125" s="1">
        <f>Table1[[#This Row],[Pout]]/Vin</f>
        <v>7.1400000000000006</v>
      </c>
      <c r="J125" s="1">
        <f>Vin*Table1[[#This Row],[Idc]]*Table1[[#This Row],[Time On]]</f>
        <v>2.0816669999999999E-2</v>
      </c>
      <c r="K125" s="1">
        <f>Table1[[#This Row],[Energy/Cycle]]-Table1[[#This Row],[Edc]]</f>
        <v>1.4169329999999997E-2</v>
      </c>
      <c r="L125" s="1">
        <f>2*Table1[[#This Row],[E Capacitor]]/(Vin^2-(Vin-V_ripple)^2)</f>
        <v>4.9028823529411792E-4</v>
      </c>
      <c r="M125" s="1">
        <f>Table1[[#This Row],[Energy/Cycle]]-(Table1[[#This Row],[E Capacitor]]+Table1[[#This Row],[Edc]])</f>
        <v>0</v>
      </c>
      <c r="N12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5.7960595666157859</v>
      </c>
    </row>
    <row r="126" spans="1:14" x14ac:dyDescent="0.25">
      <c r="A126">
        <v>0.6</v>
      </c>
      <c r="B126">
        <f t="shared" si="3"/>
        <v>17.639999999999997</v>
      </c>
      <c r="C126">
        <f>(Vin-Table1[[#This Row],[Vout]])*Table1[[#This Row],[Duty]]/(Frequency*Inductance)</f>
        <v>2.3520000000000003</v>
      </c>
      <c r="D126">
        <f>Irms-Table1[[#This Row],[Ripple Current (A)]]</f>
        <v>9.6479999999999997</v>
      </c>
      <c r="E126">
        <f>Irms+Table1[[#This Row],[Ripple Current (A)]]</f>
        <v>14.352</v>
      </c>
      <c r="F126">
        <f>Table1[[#This Row],[Vout]]*(Table1[[#This Row],[Imin]]+Table1[[#This Row],[Ripple Current (A)]])</f>
        <v>211.67999999999995</v>
      </c>
      <c r="G126" s="1">
        <f>Table1[[#This Row],[Pout]]/Frequency</f>
        <v>3.5279999999999992E-2</v>
      </c>
      <c r="H126" s="1">
        <f>Table1[[#This Row],[Duty]]/Frequency</f>
        <v>9.9999999999999991E-5</v>
      </c>
      <c r="I126" s="1">
        <f>Table1[[#This Row],[Pout]]/Vin</f>
        <v>7.1999999999999984</v>
      </c>
      <c r="J126" s="1">
        <f>Vin*Table1[[#This Row],[Idc]]*Table1[[#This Row],[Time On]]</f>
        <v>2.1167999999999992E-2</v>
      </c>
      <c r="K126" s="1">
        <f>Table1[[#This Row],[Energy/Cycle]]-Table1[[#This Row],[Edc]]</f>
        <v>1.4112E-2</v>
      </c>
      <c r="L126" s="1">
        <f>2*Table1[[#This Row],[E Capacitor]]/(Vin^2-(Vin-V_ripple)^2)</f>
        <v>4.8830449826989654E-4</v>
      </c>
      <c r="M126" s="1">
        <f>Table1[[#This Row],[Energy/Cycle]]-(Table1[[#This Row],[E Capacitor]]+Table1[[#This Row],[Edc]])</f>
        <v>0</v>
      </c>
      <c r="N12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5.7839103727495642</v>
      </c>
    </row>
    <row r="127" spans="1:14" x14ac:dyDescent="0.25">
      <c r="A127">
        <v>0.60499999999999998</v>
      </c>
      <c r="B127">
        <f t="shared" si="3"/>
        <v>17.786999999999999</v>
      </c>
      <c r="C127">
        <f>(Vin-Table1[[#This Row],[Vout]])*Table1[[#This Row],[Duty]]/(Frequency*Inductance)</f>
        <v>2.341955</v>
      </c>
      <c r="D127">
        <f>Irms-Table1[[#This Row],[Ripple Current (A)]]</f>
        <v>9.6580449999999995</v>
      </c>
      <c r="E127">
        <f>Irms+Table1[[#This Row],[Ripple Current (A)]]</f>
        <v>14.341955</v>
      </c>
      <c r="F127">
        <f>Table1[[#This Row],[Vout]]*(Table1[[#This Row],[Imin]]+Table1[[#This Row],[Ripple Current (A)]])</f>
        <v>213.44399999999999</v>
      </c>
      <c r="G127" s="1">
        <f>Table1[[#This Row],[Pout]]/Frequency</f>
        <v>3.5574000000000001E-2</v>
      </c>
      <c r="H127" s="1">
        <f>Table1[[#This Row],[Duty]]/Frequency</f>
        <v>1.0083333333333334E-4</v>
      </c>
      <c r="I127" s="1">
        <f>Table1[[#This Row],[Pout]]/Vin</f>
        <v>7.26</v>
      </c>
      <c r="J127" s="1">
        <f>Vin*Table1[[#This Row],[Idc]]*Table1[[#This Row],[Time On]]</f>
        <v>2.152227E-2</v>
      </c>
      <c r="K127" s="1">
        <f>Table1[[#This Row],[Energy/Cycle]]-Table1[[#This Row],[Edc]]</f>
        <v>1.4051730000000002E-2</v>
      </c>
      <c r="L127" s="1">
        <f>2*Table1[[#This Row],[E Capacitor]]/(Vin^2-(Vin-V_ripple)^2)</f>
        <v>4.8621903114186895E-4</v>
      </c>
      <c r="M127" s="1">
        <f>Table1[[#This Row],[Energy/Cycle]]-(Table1[[#This Row],[E Capacitor]]+Table1[[#This Row],[Edc]])</f>
        <v>0</v>
      </c>
      <c r="N12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5.7711617634775196</v>
      </c>
    </row>
    <row r="128" spans="1:14" x14ac:dyDescent="0.25">
      <c r="A128">
        <v>0.61</v>
      </c>
      <c r="B128">
        <f t="shared" si="3"/>
        <v>17.933999999999997</v>
      </c>
      <c r="C128">
        <f>(Vin-Table1[[#This Row],[Vout]])*Table1[[#This Row],[Duty]]/(Frequency*Inductance)</f>
        <v>2.33142</v>
      </c>
      <c r="D128">
        <f>Irms-Table1[[#This Row],[Ripple Current (A)]]</f>
        <v>9.6685800000000004</v>
      </c>
      <c r="E128">
        <f>Irms+Table1[[#This Row],[Ripple Current (A)]]</f>
        <v>14.33142</v>
      </c>
      <c r="F128">
        <f>Table1[[#This Row],[Vout]]*(Table1[[#This Row],[Imin]]+Table1[[#This Row],[Ripple Current (A)]])</f>
        <v>215.20799999999997</v>
      </c>
      <c r="G128" s="1">
        <f>Table1[[#This Row],[Pout]]/Frequency</f>
        <v>3.5867999999999997E-2</v>
      </c>
      <c r="H128" s="1">
        <f>Table1[[#This Row],[Duty]]/Frequency</f>
        <v>1.0166666666666667E-4</v>
      </c>
      <c r="I128" s="1">
        <f>Table1[[#This Row],[Pout]]/Vin</f>
        <v>7.3199999999999994</v>
      </c>
      <c r="J128" s="1">
        <f>Vin*Table1[[#This Row],[Idc]]*Table1[[#This Row],[Time On]]</f>
        <v>2.1879479999999996E-2</v>
      </c>
      <c r="K128" s="1">
        <f>Table1[[#This Row],[Energy/Cycle]]-Table1[[#This Row],[Edc]]</f>
        <v>1.3988520000000001E-2</v>
      </c>
      <c r="L128" s="1">
        <f>2*Table1[[#This Row],[E Capacitor]]/(Vin^2-(Vin-V_ripple)^2)</f>
        <v>4.8403183391003499E-4</v>
      </c>
      <c r="M128" s="1">
        <f>Table1[[#This Row],[Energy/Cycle]]-(Table1[[#This Row],[E Capacitor]]+Table1[[#This Row],[Edc]])</f>
        <v>0</v>
      </c>
      <c r="N12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5.757810153116548</v>
      </c>
    </row>
    <row r="129" spans="1:14" x14ac:dyDescent="0.25">
      <c r="A129">
        <v>0.61499999999999999</v>
      </c>
      <c r="B129">
        <f t="shared" si="3"/>
        <v>18.081</v>
      </c>
      <c r="C129">
        <f>(Vin-Table1[[#This Row],[Vout]])*Table1[[#This Row],[Duty]]/(Frequency*Inductance)</f>
        <v>2.320395</v>
      </c>
      <c r="D129">
        <f>Irms-Table1[[#This Row],[Ripple Current (A)]]</f>
        <v>9.6796050000000005</v>
      </c>
      <c r="E129">
        <f>Irms+Table1[[#This Row],[Ripple Current (A)]]</f>
        <v>14.320395</v>
      </c>
      <c r="F129">
        <f>Table1[[#This Row],[Vout]]*(Table1[[#This Row],[Imin]]+Table1[[#This Row],[Ripple Current (A)]])</f>
        <v>216.97199999999998</v>
      </c>
      <c r="G129" s="1">
        <f>Table1[[#This Row],[Pout]]/Frequency</f>
        <v>3.6162E-2</v>
      </c>
      <c r="H129" s="1">
        <f>Table1[[#This Row],[Duty]]/Frequency</f>
        <v>1.025E-4</v>
      </c>
      <c r="I129" s="1">
        <f>Table1[[#This Row],[Pout]]/Vin</f>
        <v>7.38</v>
      </c>
      <c r="J129" s="1">
        <f>Vin*Table1[[#This Row],[Idc]]*Table1[[#This Row],[Time On]]</f>
        <v>2.2239629999999996E-2</v>
      </c>
      <c r="K129" s="1">
        <f>Table1[[#This Row],[Energy/Cycle]]-Table1[[#This Row],[Edc]]</f>
        <v>1.3922370000000003E-2</v>
      </c>
      <c r="L129" s="1">
        <f>2*Table1[[#This Row],[E Capacitor]]/(Vin^2-(Vin-V_ripple)^2)</f>
        <v>4.8174290657439494E-4</v>
      </c>
      <c r="M129" s="1">
        <f>Table1[[#This Row],[Energy/Cycle]]-(Table1[[#This Row],[E Capacitor]]+Table1[[#This Row],[Edc]])</f>
        <v>0</v>
      </c>
      <c r="N12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5.7438516906353767</v>
      </c>
    </row>
    <row r="130" spans="1:14" x14ac:dyDescent="0.25">
      <c r="A130">
        <v>0.62</v>
      </c>
      <c r="B130">
        <f t="shared" si="3"/>
        <v>18.227999999999998</v>
      </c>
      <c r="C130">
        <f>(Vin-Table1[[#This Row],[Vout]])*Table1[[#This Row],[Duty]]/(Frequency*Inductance)</f>
        <v>2.3088799999999998</v>
      </c>
      <c r="D130">
        <f>Irms-Table1[[#This Row],[Ripple Current (A)]]</f>
        <v>9.6911199999999997</v>
      </c>
      <c r="E130">
        <f>Irms+Table1[[#This Row],[Ripple Current (A)]]</f>
        <v>14.30888</v>
      </c>
      <c r="F130">
        <f>Table1[[#This Row],[Vout]]*(Table1[[#This Row],[Imin]]+Table1[[#This Row],[Ripple Current (A)]])</f>
        <v>218.73599999999999</v>
      </c>
      <c r="G130" s="1">
        <f>Table1[[#This Row],[Pout]]/Frequency</f>
        <v>3.6455999999999995E-2</v>
      </c>
      <c r="H130" s="1">
        <f>Table1[[#This Row],[Duty]]/Frequency</f>
        <v>1.0333333333333333E-4</v>
      </c>
      <c r="I130" s="1">
        <f>Table1[[#This Row],[Pout]]/Vin</f>
        <v>7.44</v>
      </c>
      <c r="J130" s="1">
        <f>Vin*Table1[[#This Row],[Idc]]*Table1[[#This Row],[Time On]]</f>
        <v>2.2602719999999996E-2</v>
      </c>
      <c r="K130" s="1">
        <f>Table1[[#This Row],[Energy/Cycle]]-Table1[[#This Row],[Edc]]</f>
        <v>1.3853279999999999E-2</v>
      </c>
      <c r="L130" s="1">
        <f>2*Table1[[#This Row],[E Capacitor]]/(Vin^2-(Vin-V_ripple)^2)</f>
        <v>4.7935224913494846E-4</v>
      </c>
      <c r="M130" s="1">
        <f>Table1[[#This Row],[Energy/Cycle]]-(Table1[[#This Row],[E Capacitor]]+Table1[[#This Row],[Edc]])</f>
        <v>0</v>
      </c>
      <c r="N13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5.7292822514480237</v>
      </c>
    </row>
    <row r="131" spans="1:14" x14ac:dyDescent="0.25">
      <c r="A131">
        <v>0.625</v>
      </c>
      <c r="B131">
        <f t="shared" si="3"/>
        <v>18.375</v>
      </c>
      <c r="C131">
        <f>(Vin-Table1[[#This Row],[Vout]])*Table1[[#This Row],[Duty]]/(Frequency*Inductance)</f>
        <v>2.2968749999999996</v>
      </c>
      <c r="D131">
        <f>Irms-Table1[[#This Row],[Ripple Current (A)]]</f>
        <v>9.703125</v>
      </c>
      <c r="E131">
        <f>Irms+Table1[[#This Row],[Ripple Current (A)]]</f>
        <v>14.296875</v>
      </c>
      <c r="F131">
        <f>Table1[[#This Row],[Vout]]*(Table1[[#This Row],[Imin]]+Table1[[#This Row],[Ripple Current (A)]])</f>
        <v>220.5</v>
      </c>
      <c r="G131" s="1">
        <f>Table1[[#This Row],[Pout]]/Frequency</f>
        <v>3.6749999999999998E-2</v>
      </c>
      <c r="H131" s="1">
        <f>Table1[[#This Row],[Duty]]/Frequency</f>
        <v>1.0416666666666667E-4</v>
      </c>
      <c r="I131" s="1">
        <f>Table1[[#This Row],[Pout]]/Vin</f>
        <v>7.5</v>
      </c>
      <c r="J131" s="1">
        <f>Vin*Table1[[#This Row],[Idc]]*Table1[[#This Row],[Time On]]</f>
        <v>2.2968750000000003E-2</v>
      </c>
      <c r="K131" s="1">
        <f>Table1[[#This Row],[Energy/Cycle]]-Table1[[#This Row],[Edc]]</f>
        <v>1.3781249999999995E-2</v>
      </c>
      <c r="L131" s="1">
        <f>2*Table1[[#This Row],[E Capacitor]]/(Vin^2-(Vin-V_ripple)^2)</f>
        <v>4.7685986159169572E-4</v>
      </c>
      <c r="M131" s="1">
        <f>Table1[[#This Row],[Energy/Cycle]]-(Table1[[#This Row],[E Capacitor]]+Table1[[#This Row],[Edc]])</f>
        <v>0</v>
      </c>
      <c r="N13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5.7140974286258128</v>
      </c>
    </row>
    <row r="132" spans="1:14" x14ac:dyDescent="0.25">
      <c r="A132">
        <v>0.63</v>
      </c>
      <c r="B132">
        <f t="shared" si="3"/>
        <v>18.521999999999998</v>
      </c>
      <c r="C132">
        <f>(Vin-Table1[[#This Row],[Vout]])*Table1[[#This Row],[Duty]]/(Frequency*Inductance)</f>
        <v>2.2843800000000001</v>
      </c>
      <c r="D132">
        <f>Irms-Table1[[#This Row],[Ripple Current (A)]]</f>
        <v>9.7156199999999995</v>
      </c>
      <c r="E132">
        <f>Irms+Table1[[#This Row],[Ripple Current (A)]]</f>
        <v>14.284380000000001</v>
      </c>
      <c r="F132">
        <f>Table1[[#This Row],[Vout]]*(Table1[[#This Row],[Imin]]+Table1[[#This Row],[Ripple Current (A)]])</f>
        <v>222.26399999999998</v>
      </c>
      <c r="G132" s="1">
        <f>Table1[[#This Row],[Pout]]/Frequency</f>
        <v>3.7043999999999994E-2</v>
      </c>
      <c r="H132" s="1">
        <f>Table1[[#This Row],[Duty]]/Frequency</f>
        <v>1.05E-4</v>
      </c>
      <c r="I132" s="1">
        <f>Table1[[#This Row],[Pout]]/Vin</f>
        <v>7.56</v>
      </c>
      <c r="J132" s="1">
        <f>Vin*Table1[[#This Row],[Idc]]*Table1[[#This Row],[Time On]]</f>
        <v>2.3337719999999999E-2</v>
      </c>
      <c r="K132" s="1">
        <f>Table1[[#This Row],[Energy/Cycle]]-Table1[[#This Row],[Edc]]</f>
        <v>1.3706279999999994E-2</v>
      </c>
      <c r="L132" s="1">
        <f>2*Table1[[#This Row],[E Capacitor]]/(Vin^2-(Vin-V_ripple)^2)</f>
        <v>4.7426574394463688E-4</v>
      </c>
      <c r="M132" s="1">
        <f>Table1[[#This Row],[Energy/Cycle]]-(Table1[[#This Row],[E Capacitor]]+Table1[[#This Row],[Edc]])</f>
        <v>0</v>
      </c>
      <c r="N13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5.6982925234912258</v>
      </c>
    </row>
    <row r="133" spans="1:14" x14ac:dyDescent="0.25">
      <c r="A133">
        <v>0.63500000000000001</v>
      </c>
      <c r="B133">
        <f t="shared" si="3"/>
        <v>18.669</v>
      </c>
      <c r="C133">
        <f>(Vin-Table1[[#This Row],[Vout]])*Table1[[#This Row],[Duty]]/(Frequency*Inductance)</f>
        <v>2.2713949999999996</v>
      </c>
      <c r="D133">
        <f>Irms-Table1[[#This Row],[Ripple Current (A)]]</f>
        <v>9.7286049999999999</v>
      </c>
      <c r="E133">
        <f>Irms+Table1[[#This Row],[Ripple Current (A)]]</f>
        <v>14.271395</v>
      </c>
      <c r="F133">
        <f>Table1[[#This Row],[Vout]]*(Table1[[#This Row],[Imin]]+Table1[[#This Row],[Ripple Current (A)]])</f>
        <v>224.02800000000002</v>
      </c>
      <c r="G133" s="1">
        <f>Table1[[#This Row],[Pout]]/Frequency</f>
        <v>3.7338000000000003E-2</v>
      </c>
      <c r="H133" s="1">
        <f>Table1[[#This Row],[Duty]]/Frequency</f>
        <v>1.0583333333333334E-4</v>
      </c>
      <c r="I133" s="1">
        <f>Table1[[#This Row],[Pout]]/Vin</f>
        <v>7.620000000000001</v>
      </c>
      <c r="J133" s="1">
        <f>Vin*Table1[[#This Row],[Idc]]*Table1[[#This Row],[Time On]]</f>
        <v>2.3709630000000002E-2</v>
      </c>
      <c r="K133" s="1">
        <f>Table1[[#This Row],[Energy/Cycle]]-Table1[[#This Row],[Edc]]</f>
        <v>1.3628370000000001E-2</v>
      </c>
      <c r="L133" s="1">
        <f>2*Table1[[#This Row],[E Capacitor]]/(Vin^2-(Vin-V_ripple)^2)</f>
        <v>4.7156989619377205E-4</v>
      </c>
      <c r="M133" s="1">
        <f>Table1[[#This Row],[Energy/Cycle]]-(Table1[[#This Row],[E Capacitor]]+Table1[[#This Row],[Edc]])</f>
        <v>0</v>
      </c>
      <c r="N13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5.6818625355533472</v>
      </c>
    </row>
    <row r="134" spans="1:14" x14ac:dyDescent="0.25">
      <c r="A134">
        <v>0.64</v>
      </c>
      <c r="B134">
        <f t="shared" si="3"/>
        <v>18.815999999999999</v>
      </c>
      <c r="C134">
        <f>(Vin-Table1[[#This Row],[Vout]])*Table1[[#This Row],[Duty]]/(Frequency*Inductance)</f>
        <v>2.2579199999999999</v>
      </c>
      <c r="D134">
        <f>Irms-Table1[[#This Row],[Ripple Current (A)]]</f>
        <v>9.7420799999999996</v>
      </c>
      <c r="E134">
        <f>Irms+Table1[[#This Row],[Ripple Current (A)]]</f>
        <v>14.25792</v>
      </c>
      <c r="F134">
        <f>Table1[[#This Row],[Vout]]*(Table1[[#This Row],[Imin]]+Table1[[#This Row],[Ripple Current (A)]])</f>
        <v>225.79199999999997</v>
      </c>
      <c r="G134" s="1">
        <f>Table1[[#This Row],[Pout]]/Frequency</f>
        <v>3.7631999999999999E-2</v>
      </c>
      <c r="H134" s="1">
        <f>Table1[[#This Row],[Duty]]/Frequency</f>
        <v>1.0666666666666667E-4</v>
      </c>
      <c r="I134" s="1">
        <f>Table1[[#This Row],[Pout]]/Vin</f>
        <v>7.68</v>
      </c>
      <c r="J134" s="1">
        <f>Vin*Table1[[#This Row],[Idc]]*Table1[[#This Row],[Time On]]</f>
        <v>2.4084479999999998E-2</v>
      </c>
      <c r="K134" s="1">
        <f>Table1[[#This Row],[Energy/Cycle]]-Table1[[#This Row],[Edc]]</f>
        <v>1.354752E-2</v>
      </c>
      <c r="L134" s="1">
        <f>2*Table1[[#This Row],[E Capacitor]]/(Vin^2-(Vin-V_ripple)^2)</f>
        <v>4.6877231833910074E-4</v>
      </c>
      <c r="M134" s="1">
        <f>Table1[[#This Row],[Energy/Cycle]]-(Table1[[#This Row],[E Capacitor]]+Table1[[#This Row],[Edc]])</f>
        <v>0</v>
      </c>
      <c r="N13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5.6648021517408704</v>
      </c>
    </row>
    <row r="135" spans="1:14" x14ac:dyDescent="0.25">
      <c r="A135">
        <v>0.64500000000000002</v>
      </c>
      <c r="B135">
        <f t="shared" ref="B135:B166" si="4">A135*Vin</f>
        <v>18.963000000000001</v>
      </c>
      <c r="C135">
        <f>(Vin-Table1[[#This Row],[Vout]])*Table1[[#This Row],[Duty]]/(Frequency*Inductance)</f>
        <v>2.2439549999999993</v>
      </c>
      <c r="D135">
        <f>Irms-Table1[[#This Row],[Ripple Current (A)]]</f>
        <v>9.7560450000000003</v>
      </c>
      <c r="E135">
        <f>Irms+Table1[[#This Row],[Ripple Current (A)]]</f>
        <v>14.243955</v>
      </c>
      <c r="F135">
        <f>Table1[[#This Row],[Vout]]*(Table1[[#This Row],[Imin]]+Table1[[#This Row],[Ripple Current (A)]])</f>
        <v>227.55600000000001</v>
      </c>
      <c r="G135" s="1">
        <f>Table1[[#This Row],[Pout]]/Frequency</f>
        <v>3.7926000000000001E-2</v>
      </c>
      <c r="H135" s="1">
        <f>Table1[[#This Row],[Duty]]/Frequency</f>
        <v>1.075E-4</v>
      </c>
      <c r="I135" s="1">
        <f>Table1[[#This Row],[Pout]]/Vin</f>
        <v>7.7400000000000011</v>
      </c>
      <c r="J135" s="1">
        <f>Vin*Table1[[#This Row],[Idc]]*Table1[[#This Row],[Time On]]</f>
        <v>2.4462270000000001E-2</v>
      </c>
      <c r="K135" s="1">
        <f>Table1[[#This Row],[Energy/Cycle]]-Table1[[#This Row],[Edc]]</f>
        <v>1.346373E-2</v>
      </c>
      <c r="L135" s="1">
        <f>2*Table1[[#This Row],[E Capacitor]]/(Vin^2-(Vin-V_ripple)^2)</f>
        <v>4.6587301038062323E-4</v>
      </c>
      <c r="M135" s="1">
        <f>Table1[[#This Row],[Energy/Cycle]]-(Table1[[#This Row],[E Capacitor]]+Table1[[#This Row],[Edc]])</f>
        <v>0</v>
      </c>
      <c r="N13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5.6471057348844305</v>
      </c>
    </row>
    <row r="136" spans="1:14" x14ac:dyDescent="0.25">
      <c r="A136">
        <v>0.65</v>
      </c>
      <c r="B136">
        <f t="shared" si="4"/>
        <v>19.11</v>
      </c>
      <c r="C136">
        <f>(Vin-Table1[[#This Row],[Vout]])*Table1[[#This Row],[Duty]]/(Frequency*Inductance)</f>
        <v>2.2294999999999998</v>
      </c>
      <c r="D136">
        <f>Irms-Table1[[#This Row],[Ripple Current (A)]]</f>
        <v>9.7705000000000002</v>
      </c>
      <c r="E136">
        <f>Irms+Table1[[#This Row],[Ripple Current (A)]]</f>
        <v>14.2295</v>
      </c>
      <c r="F136">
        <f>Table1[[#This Row],[Vout]]*(Table1[[#This Row],[Imin]]+Table1[[#This Row],[Ripple Current (A)]])</f>
        <v>229.32</v>
      </c>
      <c r="G136" s="1">
        <f>Table1[[#This Row],[Pout]]/Frequency</f>
        <v>3.8219999999999997E-2</v>
      </c>
      <c r="H136" s="1">
        <f>Table1[[#This Row],[Duty]]/Frequency</f>
        <v>1.0833333333333334E-4</v>
      </c>
      <c r="I136" s="1">
        <f>Table1[[#This Row],[Pout]]/Vin</f>
        <v>7.8</v>
      </c>
      <c r="J136" s="1">
        <f>Vin*Table1[[#This Row],[Idc]]*Table1[[#This Row],[Time On]]</f>
        <v>2.4843E-2</v>
      </c>
      <c r="K136" s="1">
        <f>Table1[[#This Row],[Energy/Cycle]]-Table1[[#This Row],[Edc]]</f>
        <v>1.3376999999999997E-2</v>
      </c>
      <c r="L136" s="1">
        <f>2*Table1[[#This Row],[E Capacitor]]/(Vin^2-(Vin-V_ripple)^2)</f>
        <v>4.6287197231833935E-4</v>
      </c>
      <c r="M136" s="1">
        <f>Table1[[#This Row],[Energy/Cycle]]-(Table1[[#This Row],[E Capacitor]]+Table1[[#This Row],[Edc]])</f>
        <v>0</v>
      </c>
      <c r="N13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5.6287673113953938</v>
      </c>
    </row>
    <row r="137" spans="1:14" x14ac:dyDescent="0.25">
      <c r="A137">
        <v>0.65500000000000003</v>
      </c>
      <c r="B137">
        <f t="shared" si="4"/>
        <v>19.257000000000001</v>
      </c>
      <c r="C137">
        <f>(Vin-Table1[[#This Row],[Vout]])*Table1[[#This Row],[Duty]]/(Frequency*Inductance)</f>
        <v>2.2145549999999994</v>
      </c>
      <c r="D137">
        <f>Irms-Table1[[#This Row],[Ripple Current (A)]]</f>
        <v>9.7854450000000011</v>
      </c>
      <c r="E137">
        <f>Irms+Table1[[#This Row],[Ripple Current (A)]]</f>
        <v>14.214554999999999</v>
      </c>
      <c r="F137">
        <f>Table1[[#This Row],[Vout]]*(Table1[[#This Row],[Imin]]+Table1[[#This Row],[Ripple Current (A)]])</f>
        <v>231.084</v>
      </c>
      <c r="G137" s="1">
        <f>Table1[[#This Row],[Pout]]/Frequency</f>
        <v>3.8514E-2</v>
      </c>
      <c r="H137" s="1">
        <f>Table1[[#This Row],[Duty]]/Frequency</f>
        <v>1.0916666666666667E-4</v>
      </c>
      <c r="I137" s="1">
        <f>Table1[[#This Row],[Pout]]/Vin</f>
        <v>7.86</v>
      </c>
      <c r="J137" s="1">
        <f>Vin*Table1[[#This Row],[Idc]]*Table1[[#This Row],[Time On]]</f>
        <v>2.5226670000000003E-2</v>
      </c>
      <c r="K137" s="1">
        <f>Table1[[#This Row],[Energy/Cycle]]-Table1[[#This Row],[Edc]]</f>
        <v>1.3287329999999997E-2</v>
      </c>
      <c r="L137" s="1">
        <f>2*Table1[[#This Row],[E Capacitor]]/(Vin^2-(Vin-V_ripple)^2)</f>
        <v>4.5976920415224937E-4</v>
      </c>
      <c r="M137" s="1">
        <f>Table1[[#This Row],[Energy/Cycle]]-(Table1[[#This Row],[E Capacitor]]+Table1[[#This Row],[Edc]])</f>
        <v>0</v>
      </c>
      <c r="N13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5.6097805580831661</v>
      </c>
    </row>
    <row r="138" spans="1:14" x14ac:dyDescent="0.25">
      <c r="A138">
        <v>0.66</v>
      </c>
      <c r="B138">
        <f t="shared" si="4"/>
        <v>19.404</v>
      </c>
      <c r="C138">
        <f>(Vin-Table1[[#This Row],[Vout]])*Table1[[#This Row],[Duty]]/(Frequency*Inductance)</f>
        <v>2.1991199999999997</v>
      </c>
      <c r="D138">
        <f>Irms-Table1[[#This Row],[Ripple Current (A)]]</f>
        <v>9.8008799999999994</v>
      </c>
      <c r="E138">
        <f>Irms+Table1[[#This Row],[Ripple Current (A)]]</f>
        <v>14.199120000000001</v>
      </c>
      <c r="F138">
        <f>Table1[[#This Row],[Vout]]*(Table1[[#This Row],[Imin]]+Table1[[#This Row],[Ripple Current (A)]])</f>
        <v>232.84800000000001</v>
      </c>
      <c r="G138" s="1">
        <f>Table1[[#This Row],[Pout]]/Frequency</f>
        <v>3.8808000000000002E-2</v>
      </c>
      <c r="H138" s="1">
        <f>Table1[[#This Row],[Duty]]/Frequency</f>
        <v>1.1E-4</v>
      </c>
      <c r="I138" s="1">
        <f>Table1[[#This Row],[Pout]]/Vin</f>
        <v>7.9200000000000008</v>
      </c>
      <c r="J138" s="1">
        <f>Vin*Table1[[#This Row],[Idc]]*Table1[[#This Row],[Time On]]</f>
        <v>2.5613280000000002E-2</v>
      </c>
      <c r="K138" s="1">
        <f>Table1[[#This Row],[Energy/Cycle]]-Table1[[#This Row],[Edc]]</f>
        <v>1.319472E-2</v>
      </c>
      <c r="L138" s="1">
        <f>2*Table1[[#This Row],[E Capacitor]]/(Vin^2-(Vin-V_ripple)^2)</f>
        <v>4.5656470588235329E-4</v>
      </c>
      <c r="M138" s="1">
        <f>Table1[[#This Row],[Energy/Cycle]]-(Table1[[#This Row],[E Capacitor]]+Table1[[#This Row],[Edc]])</f>
        <v>0</v>
      </c>
      <c r="N13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5.5901387880473949</v>
      </c>
    </row>
    <row r="139" spans="1:14" x14ac:dyDescent="0.25">
      <c r="A139">
        <v>0.66500000000000004</v>
      </c>
      <c r="B139">
        <f t="shared" si="4"/>
        <v>19.550999999999998</v>
      </c>
      <c r="C139">
        <f>(Vin-Table1[[#This Row],[Vout]])*Table1[[#This Row],[Duty]]/(Frequency*Inductance)</f>
        <v>2.183195</v>
      </c>
      <c r="D139">
        <f>Irms-Table1[[#This Row],[Ripple Current (A)]]</f>
        <v>9.8168050000000004</v>
      </c>
      <c r="E139">
        <f>Irms+Table1[[#This Row],[Ripple Current (A)]]</f>
        <v>14.183195</v>
      </c>
      <c r="F139">
        <f>Table1[[#This Row],[Vout]]*(Table1[[#This Row],[Imin]]+Table1[[#This Row],[Ripple Current (A)]])</f>
        <v>234.61199999999997</v>
      </c>
      <c r="G139" s="1">
        <f>Table1[[#This Row],[Pout]]/Frequency</f>
        <v>3.9101999999999991E-2</v>
      </c>
      <c r="H139" s="1">
        <f>Table1[[#This Row],[Duty]]/Frequency</f>
        <v>1.1083333333333333E-4</v>
      </c>
      <c r="I139" s="1">
        <f>Table1[[#This Row],[Pout]]/Vin</f>
        <v>7.9799999999999995</v>
      </c>
      <c r="J139" s="1">
        <f>Vin*Table1[[#This Row],[Idc]]*Table1[[#This Row],[Time On]]</f>
        <v>2.6002829999999998E-2</v>
      </c>
      <c r="K139" s="1">
        <f>Table1[[#This Row],[Energy/Cycle]]-Table1[[#This Row],[Edc]]</f>
        <v>1.3099169999999993E-2</v>
      </c>
      <c r="L139" s="1">
        <f>2*Table1[[#This Row],[E Capacitor]]/(Vin^2-(Vin-V_ripple)^2)</f>
        <v>4.5325847750865062E-4</v>
      </c>
      <c r="M139" s="1">
        <f>Table1[[#This Row],[Energy/Cycle]]-(Table1[[#This Row],[E Capacitor]]+Table1[[#This Row],[Edc]])</f>
        <v>0</v>
      </c>
      <c r="N13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5.5698349355752423</v>
      </c>
    </row>
    <row r="140" spans="1:14" x14ac:dyDescent="0.25">
      <c r="A140">
        <v>0.67</v>
      </c>
      <c r="B140">
        <f t="shared" si="4"/>
        <v>19.698</v>
      </c>
      <c r="C140">
        <f>(Vin-Table1[[#This Row],[Vout]])*Table1[[#This Row],[Duty]]/(Frequency*Inductance)</f>
        <v>2.1667799999999997</v>
      </c>
      <c r="D140">
        <f>Irms-Table1[[#This Row],[Ripple Current (A)]]</f>
        <v>9.8332200000000007</v>
      </c>
      <c r="E140">
        <f>Irms+Table1[[#This Row],[Ripple Current (A)]]</f>
        <v>14.166779999999999</v>
      </c>
      <c r="F140">
        <f>Table1[[#This Row],[Vout]]*(Table1[[#This Row],[Imin]]+Table1[[#This Row],[Ripple Current (A)]])</f>
        <v>236.376</v>
      </c>
      <c r="G140" s="1">
        <f>Table1[[#This Row],[Pout]]/Frequency</f>
        <v>3.9396E-2</v>
      </c>
      <c r="H140" s="1">
        <f>Table1[[#This Row],[Duty]]/Frequency</f>
        <v>1.1166666666666668E-4</v>
      </c>
      <c r="I140" s="1">
        <f>Table1[[#This Row],[Pout]]/Vin</f>
        <v>8.0400000000000009</v>
      </c>
      <c r="J140" s="1">
        <f>Vin*Table1[[#This Row],[Idc]]*Table1[[#This Row],[Time On]]</f>
        <v>2.6395320000000003E-2</v>
      </c>
      <c r="K140" s="1">
        <f>Table1[[#This Row],[Energy/Cycle]]-Table1[[#This Row],[Edc]]</f>
        <v>1.3000679999999997E-2</v>
      </c>
      <c r="L140" s="1">
        <f>2*Table1[[#This Row],[E Capacitor]]/(Vin^2-(Vin-V_ripple)^2)</f>
        <v>4.4985051903114213E-4</v>
      </c>
      <c r="M140" s="1">
        <f>Table1[[#This Row],[Energy/Cycle]]-(Table1[[#This Row],[E Capacitor]]+Table1[[#This Row],[Edc]])</f>
        <v>0</v>
      </c>
      <c r="N14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5.5488615399669152</v>
      </c>
    </row>
    <row r="141" spans="1:14" x14ac:dyDescent="0.25">
      <c r="A141">
        <v>0.67500000000000004</v>
      </c>
      <c r="B141">
        <f t="shared" si="4"/>
        <v>19.844999999999999</v>
      </c>
      <c r="C141">
        <f>(Vin-Table1[[#This Row],[Vout]])*Table1[[#This Row],[Duty]]/(Frequency*Inductance)</f>
        <v>2.1498750000000002</v>
      </c>
      <c r="D141">
        <f>Irms-Table1[[#This Row],[Ripple Current (A)]]</f>
        <v>9.8501250000000002</v>
      </c>
      <c r="E141">
        <f>Irms+Table1[[#This Row],[Ripple Current (A)]]</f>
        <v>14.149875</v>
      </c>
      <c r="F141">
        <f>Table1[[#This Row],[Vout]]*(Table1[[#This Row],[Imin]]+Table1[[#This Row],[Ripple Current (A)]])</f>
        <v>238.14</v>
      </c>
      <c r="G141" s="1">
        <f>Table1[[#This Row],[Pout]]/Frequency</f>
        <v>3.9689999999999996E-2</v>
      </c>
      <c r="H141" s="1">
        <f>Table1[[#This Row],[Duty]]/Frequency</f>
        <v>1.1250000000000001E-4</v>
      </c>
      <c r="I141" s="1">
        <f>Table1[[#This Row],[Pout]]/Vin</f>
        <v>8.1</v>
      </c>
      <c r="J141" s="1">
        <f>Vin*Table1[[#This Row],[Idc]]*Table1[[#This Row],[Time On]]</f>
        <v>2.6790750000000002E-2</v>
      </c>
      <c r="K141" s="1">
        <f>Table1[[#This Row],[Energy/Cycle]]-Table1[[#This Row],[Edc]]</f>
        <v>1.2899249999999994E-2</v>
      </c>
      <c r="L141" s="1">
        <f>2*Table1[[#This Row],[E Capacitor]]/(Vin^2-(Vin-V_ripple)^2)</f>
        <v>4.4634083044982711E-4</v>
      </c>
      <c r="M141" s="1">
        <f>Table1[[#This Row],[Energy/Cycle]]-(Table1[[#This Row],[E Capacitor]]+Table1[[#This Row],[Edc]])</f>
        <v>0</v>
      </c>
      <c r="N14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5.5272107282049934</v>
      </c>
    </row>
    <row r="142" spans="1:14" x14ac:dyDescent="0.25">
      <c r="A142">
        <v>0.68</v>
      </c>
      <c r="B142">
        <f t="shared" si="4"/>
        <v>19.992000000000001</v>
      </c>
      <c r="C142">
        <f>(Vin-Table1[[#This Row],[Vout]])*Table1[[#This Row],[Duty]]/(Frequency*Inductance)</f>
        <v>2.1324799999999997</v>
      </c>
      <c r="D142">
        <f>Irms-Table1[[#This Row],[Ripple Current (A)]]</f>
        <v>9.8675200000000007</v>
      </c>
      <c r="E142">
        <f>Irms+Table1[[#This Row],[Ripple Current (A)]]</f>
        <v>14.132479999999999</v>
      </c>
      <c r="F142">
        <f>Table1[[#This Row],[Vout]]*(Table1[[#This Row],[Imin]]+Table1[[#This Row],[Ripple Current (A)]])</f>
        <v>239.904</v>
      </c>
      <c r="G142" s="1">
        <f>Table1[[#This Row],[Pout]]/Frequency</f>
        <v>3.9983999999999999E-2</v>
      </c>
      <c r="H142" s="1">
        <f>Table1[[#This Row],[Duty]]/Frequency</f>
        <v>1.1333333333333334E-4</v>
      </c>
      <c r="I142" s="1">
        <f>Table1[[#This Row],[Pout]]/Vin</f>
        <v>8.16</v>
      </c>
      <c r="J142" s="1">
        <f>Vin*Table1[[#This Row],[Idc]]*Table1[[#This Row],[Time On]]</f>
        <v>2.7189120000000001E-2</v>
      </c>
      <c r="K142" s="1">
        <f>Table1[[#This Row],[Energy/Cycle]]-Table1[[#This Row],[Edc]]</f>
        <v>1.2794879999999998E-2</v>
      </c>
      <c r="L142" s="1">
        <f>2*Table1[[#This Row],[E Capacitor]]/(Vin^2-(Vin-V_ripple)^2)</f>
        <v>4.4272941176470615E-4</v>
      </c>
      <c r="M142" s="1">
        <f>Table1[[#This Row],[Energy/Cycle]]-(Table1[[#This Row],[E Capacitor]]+Table1[[#This Row],[Edc]])</f>
        <v>0</v>
      </c>
      <c r="N14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5.5048741963744572</v>
      </c>
    </row>
    <row r="143" spans="1:14" x14ac:dyDescent="0.25">
      <c r="A143">
        <v>0.68500000000000005</v>
      </c>
      <c r="B143">
        <f t="shared" si="4"/>
        <v>20.138999999999999</v>
      </c>
      <c r="C143">
        <f>(Vin-Table1[[#This Row],[Vout]])*Table1[[#This Row],[Duty]]/(Frequency*Inductance)</f>
        <v>2.114595</v>
      </c>
      <c r="D143">
        <f>Irms-Table1[[#This Row],[Ripple Current (A)]]</f>
        <v>9.8854050000000004</v>
      </c>
      <c r="E143">
        <f>Irms+Table1[[#This Row],[Ripple Current (A)]]</f>
        <v>14.114595</v>
      </c>
      <c r="F143">
        <f>Table1[[#This Row],[Vout]]*(Table1[[#This Row],[Imin]]+Table1[[#This Row],[Ripple Current (A)]])</f>
        <v>241.66800000000001</v>
      </c>
      <c r="G143" s="1">
        <f>Table1[[#This Row],[Pout]]/Frequency</f>
        <v>4.0278000000000001E-2</v>
      </c>
      <c r="H143" s="1">
        <f>Table1[[#This Row],[Duty]]/Frequency</f>
        <v>1.1416666666666667E-4</v>
      </c>
      <c r="I143" s="1">
        <f>Table1[[#This Row],[Pout]]/Vin</f>
        <v>8.2200000000000006</v>
      </c>
      <c r="J143" s="1">
        <f>Vin*Table1[[#This Row],[Idc]]*Table1[[#This Row],[Time On]]</f>
        <v>2.7590430000000003E-2</v>
      </c>
      <c r="K143" s="1">
        <f>Table1[[#This Row],[Energy/Cycle]]-Table1[[#This Row],[Edc]]</f>
        <v>1.2687569999999999E-2</v>
      </c>
      <c r="L143" s="1">
        <f>2*Table1[[#This Row],[E Capacitor]]/(Vin^2-(Vin-V_ripple)^2)</f>
        <v>4.3901626297577882E-4</v>
      </c>
      <c r="M143" s="1">
        <f>Table1[[#This Row],[Energy/Cycle]]-(Table1[[#This Row],[E Capacitor]]+Table1[[#This Row],[Edc]])</f>
        <v>0</v>
      </c>
      <c r="N14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5.4818431897307702</v>
      </c>
    </row>
    <row r="144" spans="1:14" x14ac:dyDescent="0.25">
      <c r="A144">
        <v>0.69</v>
      </c>
      <c r="B144">
        <f t="shared" si="4"/>
        <v>20.285999999999998</v>
      </c>
      <c r="C144">
        <f>(Vin-Table1[[#This Row],[Vout]])*Table1[[#This Row],[Duty]]/(Frequency*Inductance)</f>
        <v>2.0962200000000002</v>
      </c>
      <c r="D144">
        <f>Irms-Table1[[#This Row],[Ripple Current (A)]]</f>
        <v>9.9037799999999994</v>
      </c>
      <c r="E144">
        <f>Irms+Table1[[#This Row],[Ripple Current (A)]]</f>
        <v>14.096220000000001</v>
      </c>
      <c r="F144">
        <f>Table1[[#This Row],[Vout]]*(Table1[[#This Row],[Imin]]+Table1[[#This Row],[Ripple Current (A)]])</f>
        <v>243.43199999999996</v>
      </c>
      <c r="G144" s="1">
        <f>Table1[[#This Row],[Pout]]/Frequency</f>
        <v>4.057199999999999E-2</v>
      </c>
      <c r="H144" s="1">
        <f>Table1[[#This Row],[Duty]]/Frequency</f>
        <v>1.1499999999999999E-4</v>
      </c>
      <c r="I144" s="1">
        <f>Table1[[#This Row],[Pout]]/Vin</f>
        <v>8.2799999999999994</v>
      </c>
      <c r="J144" s="1">
        <f>Vin*Table1[[#This Row],[Idc]]*Table1[[#This Row],[Time On]]</f>
        <v>2.7994679999999994E-2</v>
      </c>
      <c r="K144" s="1">
        <f>Table1[[#This Row],[Energy/Cycle]]-Table1[[#This Row],[Edc]]</f>
        <v>1.2577319999999996E-2</v>
      </c>
      <c r="L144" s="1">
        <f>2*Table1[[#This Row],[E Capacitor]]/(Vin^2-(Vin-V_ripple)^2)</f>
        <v>4.3520138408304518E-4</v>
      </c>
      <c r="M144" s="1">
        <f>Table1[[#This Row],[Energy/Cycle]]-(Table1[[#This Row],[E Capacitor]]+Table1[[#This Row],[Edc]])</f>
        <v>0</v>
      </c>
      <c r="N14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5.4581084813026575</v>
      </c>
    </row>
    <row r="145" spans="1:14" x14ac:dyDescent="0.25">
      <c r="A145">
        <v>0.69499999999999995</v>
      </c>
      <c r="B145">
        <f t="shared" si="4"/>
        <v>20.432999999999996</v>
      </c>
      <c r="C145">
        <f>(Vin-Table1[[#This Row],[Vout]])*Table1[[#This Row],[Duty]]/(Frequency*Inductance)</f>
        <v>2.0773550000000003</v>
      </c>
      <c r="D145">
        <f>Irms-Table1[[#This Row],[Ripple Current (A)]]</f>
        <v>9.9226449999999993</v>
      </c>
      <c r="E145">
        <f>Irms+Table1[[#This Row],[Ripple Current (A)]]</f>
        <v>14.077355000000001</v>
      </c>
      <c r="F145">
        <f>Table1[[#This Row],[Vout]]*(Table1[[#This Row],[Imin]]+Table1[[#This Row],[Ripple Current (A)]])</f>
        <v>245.19599999999997</v>
      </c>
      <c r="G145" s="1">
        <f>Table1[[#This Row],[Pout]]/Frequency</f>
        <v>4.0865999999999993E-2</v>
      </c>
      <c r="H145" s="1">
        <f>Table1[[#This Row],[Duty]]/Frequency</f>
        <v>1.1583333333333332E-4</v>
      </c>
      <c r="I145" s="1">
        <f>Table1[[#This Row],[Pout]]/Vin</f>
        <v>8.34</v>
      </c>
      <c r="J145" s="1">
        <f>Vin*Table1[[#This Row],[Idc]]*Table1[[#This Row],[Time On]]</f>
        <v>2.8401869999999996E-2</v>
      </c>
      <c r="K145" s="1">
        <f>Table1[[#This Row],[Energy/Cycle]]-Table1[[#This Row],[Edc]]</f>
        <v>1.2464129999999997E-2</v>
      </c>
      <c r="L145" s="1">
        <f>2*Table1[[#This Row],[E Capacitor]]/(Vin^2-(Vin-V_ripple)^2)</f>
        <v>4.3128477508650543E-4</v>
      </c>
      <c r="M145" s="1">
        <f>Table1[[#This Row],[Energy/Cycle]]-(Table1[[#This Row],[E Capacitor]]+Table1[[#This Row],[Edc]])</f>
        <v>0</v>
      </c>
      <c r="N14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5.4336603489042457</v>
      </c>
    </row>
    <row r="146" spans="1:14" x14ac:dyDescent="0.25">
      <c r="A146">
        <v>0.7</v>
      </c>
      <c r="B146">
        <f t="shared" si="4"/>
        <v>20.58</v>
      </c>
      <c r="C146">
        <f>(Vin-Table1[[#This Row],[Vout]])*Table1[[#This Row],[Duty]]/(Frequency*Inductance)</f>
        <v>2.0579999999999998</v>
      </c>
      <c r="D146">
        <f>Irms-Table1[[#This Row],[Ripple Current (A)]]</f>
        <v>9.9420000000000002</v>
      </c>
      <c r="E146">
        <f>Irms+Table1[[#This Row],[Ripple Current (A)]]</f>
        <v>14.058</v>
      </c>
      <c r="F146">
        <f>Table1[[#This Row],[Vout]]*(Table1[[#This Row],[Imin]]+Table1[[#This Row],[Ripple Current (A)]])</f>
        <v>246.95999999999998</v>
      </c>
      <c r="G146" s="1">
        <f>Table1[[#This Row],[Pout]]/Frequency</f>
        <v>4.1159999999999995E-2</v>
      </c>
      <c r="H146" s="1">
        <f>Table1[[#This Row],[Duty]]/Frequency</f>
        <v>1.1666666666666667E-4</v>
      </c>
      <c r="I146" s="1">
        <f>Table1[[#This Row],[Pout]]/Vin</f>
        <v>8.4</v>
      </c>
      <c r="J146" s="1">
        <f>Vin*Table1[[#This Row],[Idc]]*Table1[[#This Row],[Time On]]</f>
        <v>2.8812000000000001E-2</v>
      </c>
      <c r="K146" s="1">
        <f>Table1[[#This Row],[Energy/Cycle]]-Table1[[#This Row],[Edc]]</f>
        <v>1.2347999999999994E-2</v>
      </c>
      <c r="L146" s="1">
        <f>2*Table1[[#This Row],[E Capacitor]]/(Vin^2-(Vin-V_ripple)^2)</f>
        <v>4.2726643598615932E-4</v>
      </c>
      <c r="M146" s="1">
        <f>Table1[[#This Row],[Energy/Cycle]]-(Table1[[#This Row],[E Capacitor]]+Table1[[#This Row],[Edc]])</f>
        <v>0</v>
      </c>
      <c r="N14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5.4084885504177596</v>
      </c>
    </row>
    <row r="147" spans="1:14" x14ac:dyDescent="0.25">
      <c r="A147">
        <v>0.70499999999999996</v>
      </c>
      <c r="B147">
        <f t="shared" si="4"/>
        <v>20.726999999999997</v>
      </c>
      <c r="C147">
        <f>(Vin-Table1[[#This Row],[Vout]])*Table1[[#This Row],[Duty]]/(Frequency*Inductance)</f>
        <v>2.0381550000000002</v>
      </c>
      <c r="D147">
        <f>Irms-Table1[[#This Row],[Ripple Current (A)]]</f>
        <v>9.9618450000000003</v>
      </c>
      <c r="E147">
        <f>Irms+Table1[[#This Row],[Ripple Current (A)]]</f>
        <v>14.038155</v>
      </c>
      <c r="F147">
        <f>Table1[[#This Row],[Vout]]*(Table1[[#This Row],[Imin]]+Table1[[#This Row],[Ripple Current (A)]])</f>
        <v>248.72399999999996</v>
      </c>
      <c r="G147" s="1">
        <f>Table1[[#This Row],[Pout]]/Frequency</f>
        <v>4.1453999999999991E-2</v>
      </c>
      <c r="H147" s="1">
        <f>Table1[[#This Row],[Duty]]/Frequency</f>
        <v>1.175E-4</v>
      </c>
      <c r="I147" s="1">
        <f>Table1[[#This Row],[Pout]]/Vin</f>
        <v>8.4599999999999991</v>
      </c>
      <c r="J147" s="1">
        <f>Vin*Table1[[#This Row],[Idc]]*Table1[[#This Row],[Time On]]</f>
        <v>2.9225069999999995E-2</v>
      </c>
      <c r="K147" s="1">
        <f>Table1[[#This Row],[Energy/Cycle]]-Table1[[#This Row],[Edc]]</f>
        <v>1.2228929999999995E-2</v>
      </c>
      <c r="L147" s="1">
        <f>2*Table1[[#This Row],[E Capacitor]]/(Vin^2-(Vin-V_ripple)^2)</f>
        <v>4.2314636678200711E-4</v>
      </c>
      <c r="M147" s="1">
        <f>Table1[[#This Row],[Energy/Cycle]]-(Table1[[#This Row],[E Capacitor]]+Table1[[#This Row],[Edc]])</f>
        <v>0</v>
      </c>
      <c r="N14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5.382582297192875</v>
      </c>
    </row>
    <row r="148" spans="1:14" x14ac:dyDescent="0.25">
      <c r="A148">
        <v>0.71</v>
      </c>
      <c r="B148">
        <f t="shared" si="4"/>
        <v>20.873999999999999</v>
      </c>
      <c r="C148">
        <f>(Vin-Table1[[#This Row],[Vout]])*Table1[[#This Row],[Duty]]/(Frequency*Inductance)</f>
        <v>2.0178199999999999</v>
      </c>
      <c r="D148">
        <f>Irms-Table1[[#This Row],[Ripple Current (A)]]</f>
        <v>9.9821799999999996</v>
      </c>
      <c r="E148">
        <f>Irms+Table1[[#This Row],[Ripple Current (A)]]</f>
        <v>14.01782</v>
      </c>
      <c r="F148">
        <f>Table1[[#This Row],[Vout]]*(Table1[[#This Row],[Imin]]+Table1[[#This Row],[Ripple Current (A)]])</f>
        <v>250.488</v>
      </c>
      <c r="G148" s="1">
        <f>Table1[[#This Row],[Pout]]/Frequency</f>
        <v>4.1748E-2</v>
      </c>
      <c r="H148" s="1">
        <f>Table1[[#This Row],[Duty]]/Frequency</f>
        <v>1.1833333333333333E-4</v>
      </c>
      <c r="I148" s="1">
        <f>Table1[[#This Row],[Pout]]/Vin</f>
        <v>8.52</v>
      </c>
      <c r="J148" s="1">
        <f>Vin*Table1[[#This Row],[Idc]]*Table1[[#This Row],[Time On]]</f>
        <v>2.9641079999999997E-2</v>
      </c>
      <c r="K148" s="1">
        <f>Table1[[#This Row],[Energy/Cycle]]-Table1[[#This Row],[Edc]]</f>
        <v>1.2106920000000004E-2</v>
      </c>
      <c r="L148" s="1">
        <f>2*Table1[[#This Row],[E Capacitor]]/(Vin^2-(Vin-V_ripple)^2)</f>
        <v>4.1892456747404891E-4</v>
      </c>
      <c r="M148" s="1">
        <f>Table1[[#This Row],[Energy/Cycle]]-(Table1[[#This Row],[E Capacitor]]+Table1[[#This Row],[Edc]])</f>
        <v>0</v>
      </c>
      <c r="N14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5.3559302253917886</v>
      </c>
    </row>
    <row r="149" spans="1:14" x14ac:dyDescent="0.25">
      <c r="A149">
        <v>0.71499999999999997</v>
      </c>
      <c r="B149">
        <f t="shared" si="4"/>
        <v>21.020999999999997</v>
      </c>
      <c r="C149">
        <f>(Vin-Table1[[#This Row],[Vout]])*Table1[[#This Row],[Duty]]/(Frequency*Inductance)</f>
        <v>1.9969950000000003</v>
      </c>
      <c r="D149">
        <f>Irms-Table1[[#This Row],[Ripple Current (A)]]</f>
        <v>10.003005</v>
      </c>
      <c r="E149">
        <f>Irms+Table1[[#This Row],[Ripple Current (A)]]</f>
        <v>13.996995</v>
      </c>
      <c r="F149">
        <f>Table1[[#This Row],[Vout]]*(Table1[[#This Row],[Imin]]+Table1[[#This Row],[Ripple Current (A)]])</f>
        <v>252.25199999999995</v>
      </c>
      <c r="G149" s="1">
        <f>Table1[[#This Row],[Pout]]/Frequency</f>
        <v>4.2041999999999989E-2</v>
      </c>
      <c r="H149" s="1">
        <f>Table1[[#This Row],[Duty]]/Frequency</f>
        <v>1.1916666666666666E-4</v>
      </c>
      <c r="I149" s="1">
        <f>Table1[[#This Row],[Pout]]/Vin</f>
        <v>8.5799999999999983</v>
      </c>
      <c r="J149" s="1">
        <f>Vin*Table1[[#This Row],[Idc]]*Table1[[#This Row],[Time On]]</f>
        <v>3.0060029999999988E-2</v>
      </c>
      <c r="K149" s="1">
        <f>Table1[[#This Row],[Energy/Cycle]]-Table1[[#This Row],[Edc]]</f>
        <v>1.1981970000000002E-2</v>
      </c>
      <c r="L149" s="1">
        <f>2*Table1[[#This Row],[E Capacitor]]/(Vin^2-(Vin-V_ripple)^2)</f>
        <v>4.1460103806228413E-4</v>
      </c>
      <c r="M149" s="1">
        <f>Table1[[#This Row],[Energy/Cycle]]-(Table1[[#This Row],[E Capacitor]]+Table1[[#This Row],[Edc]])</f>
        <v>0</v>
      </c>
      <c r="N14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5.3285203650898598</v>
      </c>
    </row>
    <row r="150" spans="1:14" x14ac:dyDescent="0.25">
      <c r="A150">
        <v>0.72</v>
      </c>
      <c r="B150">
        <f t="shared" si="4"/>
        <v>21.167999999999999</v>
      </c>
      <c r="C150">
        <f>(Vin-Table1[[#This Row],[Vout]])*Table1[[#This Row],[Duty]]/(Frequency*Inductance)</f>
        <v>1.9756799999999997</v>
      </c>
      <c r="D150">
        <f>Irms-Table1[[#This Row],[Ripple Current (A)]]</f>
        <v>10.024319999999999</v>
      </c>
      <c r="E150">
        <f>Irms+Table1[[#This Row],[Ripple Current (A)]]</f>
        <v>13.975680000000001</v>
      </c>
      <c r="F150">
        <f>Table1[[#This Row],[Vout]]*(Table1[[#This Row],[Imin]]+Table1[[#This Row],[Ripple Current (A)]])</f>
        <v>254.01599999999999</v>
      </c>
      <c r="G150" s="1">
        <f>Table1[[#This Row],[Pout]]/Frequency</f>
        <v>4.2335999999999999E-2</v>
      </c>
      <c r="H150" s="1">
        <f>Table1[[#This Row],[Duty]]/Frequency</f>
        <v>1.1999999999999999E-4</v>
      </c>
      <c r="I150" s="1">
        <f>Table1[[#This Row],[Pout]]/Vin</f>
        <v>8.64</v>
      </c>
      <c r="J150" s="1">
        <f>Vin*Table1[[#This Row],[Idc]]*Table1[[#This Row],[Time On]]</f>
        <v>3.0481919999999996E-2</v>
      </c>
      <c r="K150" s="1">
        <f>Table1[[#This Row],[Energy/Cycle]]-Table1[[#This Row],[Edc]]</f>
        <v>1.1854080000000003E-2</v>
      </c>
      <c r="L150" s="1">
        <f>2*Table1[[#This Row],[E Capacitor]]/(Vin^2-(Vin-V_ripple)^2)</f>
        <v>4.1017577854671325E-4</v>
      </c>
      <c r="M150" s="1">
        <f>Table1[[#This Row],[Energy/Cycle]]-(Table1[[#This Row],[E Capacitor]]+Table1[[#This Row],[Edc]])</f>
        <v>0</v>
      </c>
      <c r="N15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5.3003401069199318</v>
      </c>
    </row>
    <row r="151" spans="1:14" x14ac:dyDescent="0.25">
      <c r="A151">
        <v>0.72499999999999998</v>
      </c>
      <c r="B151">
        <f t="shared" si="4"/>
        <v>21.314999999999998</v>
      </c>
      <c r="C151">
        <f>(Vin-Table1[[#This Row],[Vout]])*Table1[[#This Row],[Duty]]/(Frequency*Inductance)</f>
        <v>1.953875</v>
      </c>
      <c r="D151">
        <f>Irms-Table1[[#This Row],[Ripple Current (A)]]</f>
        <v>10.046125</v>
      </c>
      <c r="E151">
        <f>Irms+Table1[[#This Row],[Ripple Current (A)]]</f>
        <v>13.953875</v>
      </c>
      <c r="F151">
        <f>Table1[[#This Row],[Vout]]*(Table1[[#This Row],[Imin]]+Table1[[#This Row],[Ripple Current (A)]])</f>
        <v>255.77999999999997</v>
      </c>
      <c r="G151" s="1">
        <f>Table1[[#This Row],[Pout]]/Frequency</f>
        <v>4.2629999999999994E-2</v>
      </c>
      <c r="H151" s="1">
        <f>Table1[[#This Row],[Duty]]/Frequency</f>
        <v>1.2083333333333333E-4</v>
      </c>
      <c r="I151" s="1">
        <f>Table1[[#This Row],[Pout]]/Vin</f>
        <v>8.6999999999999993</v>
      </c>
      <c r="J151" s="1">
        <f>Vin*Table1[[#This Row],[Idc]]*Table1[[#This Row],[Time On]]</f>
        <v>3.0906749999999997E-2</v>
      </c>
      <c r="K151" s="1">
        <f>Table1[[#This Row],[Energy/Cycle]]-Table1[[#This Row],[Edc]]</f>
        <v>1.1723249999999998E-2</v>
      </c>
      <c r="L151" s="1">
        <f>2*Table1[[#This Row],[E Capacitor]]/(Vin^2-(Vin-V_ripple)^2)</f>
        <v>4.0564878892733588E-4</v>
      </c>
      <c r="M151" s="1">
        <f>Table1[[#This Row],[Energy/Cycle]]-(Table1[[#This Row],[E Capacitor]]+Table1[[#This Row],[Edc]])</f>
        <v>0</v>
      </c>
      <c r="N15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5.271376166023817</v>
      </c>
    </row>
    <row r="152" spans="1:14" x14ac:dyDescent="0.25">
      <c r="A152">
        <v>0.73</v>
      </c>
      <c r="B152">
        <f t="shared" si="4"/>
        <v>21.462</v>
      </c>
      <c r="C152">
        <f>(Vin-Table1[[#This Row],[Vout]])*Table1[[#This Row],[Duty]]/(Frequency*Inductance)</f>
        <v>1.9315799999999996</v>
      </c>
      <c r="D152">
        <f>Irms-Table1[[#This Row],[Ripple Current (A)]]</f>
        <v>10.06842</v>
      </c>
      <c r="E152">
        <f>Irms+Table1[[#This Row],[Ripple Current (A)]]</f>
        <v>13.93158</v>
      </c>
      <c r="F152">
        <f>Table1[[#This Row],[Vout]]*(Table1[[#This Row],[Imin]]+Table1[[#This Row],[Ripple Current (A)]])</f>
        <v>257.54399999999998</v>
      </c>
      <c r="G152" s="1">
        <f>Table1[[#This Row],[Pout]]/Frequency</f>
        <v>4.2923999999999997E-2</v>
      </c>
      <c r="H152" s="1">
        <f>Table1[[#This Row],[Duty]]/Frequency</f>
        <v>1.2166666666666667E-4</v>
      </c>
      <c r="I152" s="1">
        <f>Table1[[#This Row],[Pout]]/Vin</f>
        <v>8.76</v>
      </c>
      <c r="J152" s="1">
        <f>Vin*Table1[[#This Row],[Idc]]*Table1[[#This Row],[Time On]]</f>
        <v>3.1334519999999998E-2</v>
      </c>
      <c r="K152" s="1">
        <f>Table1[[#This Row],[Energy/Cycle]]-Table1[[#This Row],[Edc]]</f>
        <v>1.1589479999999999E-2</v>
      </c>
      <c r="L152" s="1">
        <f>2*Table1[[#This Row],[E Capacitor]]/(Vin^2-(Vin-V_ripple)^2)</f>
        <v>4.0102006920415253E-4</v>
      </c>
      <c r="M152" s="1">
        <f>Table1[[#This Row],[Energy/Cycle]]-(Table1[[#This Row],[E Capacitor]]+Table1[[#This Row],[Edc]])</f>
        <v>0</v>
      </c>
      <c r="N15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5.2416145430464454</v>
      </c>
    </row>
    <row r="153" spans="1:14" x14ac:dyDescent="0.25">
      <c r="A153">
        <v>0.73499999999999999</v>
      </c>
      <c r="B153">
        <f t="shared" si="4"/>
        <v>21.608999999999998</v>
      </c>
      <c r="C153">
        <f>(Vin-Table1[[#This Row],[Vout]])*Table1[[#This Row],[Duty]]/(Frequency*Inductance)</f>
        <v>1.9087950000000002</v>
      </c>
      <c r="D153">
        <f>Irms-Table1[[#This Row],[Ripple Current (A)]]</f>
        <v>10.091205</v>
      </c>
      <c r="E153">
        <f>Irms+Table1[[#This Row],[Ripple Current (A)]]</f>
        <v>13.908795</v>
      </c>
      <c r="F153">
        <f>Table1[[#This Row],[Vout]]*(Table1[[#This Row],[Imin]]+Table1[[#This Row],[Ripple Current (A)]])</f>
        <v>259.30799999999999</v>
      </c>
      <c r="G153" s="1">
        <f>Table1[[#This Row],[Pout]]/Frequency</f>
        <v>4.3217999999999999E-2</v>
      </c>
      <c r="H153" s="1">
        <f>Table1[[#This Row],[Duty]]/Frequency</f>
        <v>1.225E-4</v>
      </c>
      <c r="I153" s="1">
        <f>Table1[[#This Row],[Pout]]/Vin</f>
        <v>8.82</v>
      </c>
      <c r="J153" s="1">
        <f>Vin*Table1[[#This Row],[Idc]]*Table1[[#This Row],[Time On]]</f>
        <v>3.1765229999999998E-2</v>
      </c>
      <c r="K153" s="1">
        <f>Table1[[#This Row],[Energy/Cycle]]-Table1[[#This Row],[Edc]]</f>
        <v>1.1452770000000001E-2</v>
      </c>
      <c r="L153" s="1">
        <f>2*Table1[[#This Row],[E Capacitor]]/(Vin^2-(Vin-V_ripple)^2)</f>
        <v>3.9628961937716297E-4</v>
      </c>
      <c r="M153" s="1">
        <f>Table1[[#This Row],[Energy/Cycle]]-(Table1[[#This Row],[E Capacitor]]+Table1[[#This Row],[Edc]])</f>
        <v>0</v>
      </c>
      <c r="N15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5.2110404818763287</v>
      </c>
    </row>
    <row r="154" spans="1:14" x14ac:dyDescent="0.25">
      <c r="A154">
        <v>0.74</v>
      </c>
      <c r="B154">
        <f t="shared" si="4"/>
        <v>21.756</v>
      </c>
      <c r="C154">
        <f>(Vin-Table1[[#This Row],[Vout]])*Table1[[#This Row],[Duty]]/(Frequency*Inductance)</f>
        <v>1.8855199999999996</v>
      </c>
      <c r="D154">
        <f>Irms-Table1[[#This Row],[Ripple Current (A)]]</f>
        <v>10.11448</v>
      </c>
      <c r="E154">
        <f>Irms+Table1[[#This Row],[Ripple Current (A)]]</f>
        <v>13.88552</v>
      </c>
      <c r="F154">
        <f>Table1[[#This Row],[Vout]]*(Table1[[#This Row],[Imin]]+Table1[[#This Row],[Ripple Current (A)]])</f>
        <v>261.072</v>
      </c>
      <c r="G154" s="1">
        <f>Table1[[#This Row],[Pout]]/Frequency</f>
        <v>4.3512000000000002E-2</v>
      </c>
      <c r="H154" s="1">
        <f>Table1[[#This Row],[Duty]]/Frequency</f>
        <v>1.2333333333333334E-4</v>
      </c>
      <c r="I154" s="1">
        <f>Table1[[#This Row],[Pout]]/Vin</f>
        <v>8.8800000000000008</v>
      </c>
      <c r="J154" s="1">
        <f>Vin*Table1[[#This Row],[Idc]]*Table1[[#This Row],[Time On]]</f>
        <v>3.2198879999999999E-2</v>
      </c>
      <c r="K154" s="1">
        <f>Table1[[#This Row],[Energy/Cycle]]-Table1[[#This Row],[Edc]]</f>
        <v>1.1313120000000003E-2</v>
      </c>
      <c r="L154" s="1">
        <f>2*Table1[[#This Row],[E Capacitor]]/(Vin^2-(Vin-V_ripple)^2)</f>
        <v>3.9145743944636721E-4</v>
      </c>
      <c r="M154" s="1">
        <f>Table1[[#This Row],[Energy/Cycle]]-(Table1[[#This Row],[E Capacitor]]+Table1[[#This Row],[Edc]])</f>
        <v>0</v>
      </c>
      <c r="N15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5.179638423799612</v>
      </c>
    </row>
    <row r="155" spans="1:14" x14ac:dyDescent="0.25">
      <c r="A155">
        <v>0.745</v>
      </c>
      <c r="B155">
        <f t="shared" si="4"/>
        <v>21.902999999999999</v>
      </c>
      <c r="C155">
        <f>(Vin-Table1[[#This Row],[Vout]])*Table1[[#This Row],[Duty]]/(Frequency*Inductance)</f>
        <v>1.8617549999999998</v>
      </c>
      <c r="D155">
        <f>Irms-Table1[[#This Row],[Ripple Current (A)]]</f>
        <v>10.138245</v>
      </c>
      <c r="E155">
        <f>Irms+Table1[[#This Row],[Ripple Current (A)]]</f>
        <v>13.861755</v>
      </c>
      <c r="F155">
        <f>Table1[[#This Row],[Vout]]*(Table1[[#This Row],[Imin]]+Table1[[#This Row],[Ripple Current (A)]])</f>
        <v>262.83600000000001</v>
      </c>
      <c r="G155" s="1">
        <f>Table1[[#This Row],[Pout]]/Frequency</f>
        <v>4.3806000000000005E-2</v>
      </c>
      <c r="H155" s="1">
        <f>Table1[[#This Row],[Duty]]/Frequency</f>
        <v>1.2416666666666666E-4</v>
      </c>
      <c r="I155" s="1">
        <f>Table1[[#This Row],[Pout]]/Vin</f>
        <v>8.9400000000000013</v>
      </c>
      <c r="J155" s="1">
        <f>Vin*Table1[[#This Row],[Idc]]*Table1[[#This Row],[Time On]]</f>
        <v>3.263547E-2</v>
      </c>
      <c r="K155" s="1">
        <f>Table1[[#This Row],[Energy/Cycle]]-Table1[[#This Row],[Edc]]</f>
        <v>1.1170530000000005E-2</v>
      </c>
      <c r="L155" s="1">
        <f>2*Table1[[#This Row],[E Capacitor]]/(Vin^2-(Vin-V_ripple)^2)</f>
        <v>3.8652352941176519E-4</v>
      </c>
      <c r="M155" s="1">
        <f>Table1[[#This Row],[Energy/Cycle]]-(Table1[[#This Row],[E Capacitor]]+Table1[[#This Row],[Edc]])</f>
        <v>0</v>
      </c>
      <c r="N15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5.1473919576934417</v>
      </c>
    </row>
    <row r="156" spans="1:14" x14ac:dyDescent="0.25">
      <c r="A156">
        <v>0.75</v>
      </c>
      <c r="B156">
        <f t="shared" si="4"/>
        <v>22.049999999999997</v>
      </c>
      <c r="C156">
        <f>(Vin-Table1[[#This Row],[Vout]])*Table1[[#This Row],[Duty]]/(Frequency*Inductance)</f>
        <v>1.8375000000000004</v>
      </c>
      <c r="D156">
        <f>Irms-Table1[[#This Row],[Ripple Current (A)]]</f>
        <v>10.1625</v>
      </c>
      <c r="E156">
        <f>Irms+Table1[[#This Row],[Ripple Current (A)]]</f>
        <v>13.8375</v>
      </c>
      <c r="F156">
        <f>Table1[[#This Row],[Vout]]*(Table1[[#This Row],[Imin]]+Table1[[#This Row],[Ripple Current (A)]])</f>
        <v>264.59999999999997</v>
      </c>
      <c r="G156" s="1">
        <f>Table1[[#This Row],[Pout]]/Frequency</f>
        <v>4.4099999999999993E-2</v>
      </c>
      <c r="H156" s="1">
        <f>Table1[[#This Row],[Duty]]/Frequency</f>
        <v>1.25E-4</v>
      </c>
      <c r="I156" s="1">
        <f>Table1[[#This Row],[Pout]]/Vin</f>
        <v>9</v>
      </c>
      <c r="J156" s="1">
        <f>Vin*Table1[[#This Row],[Idc]]*Table1[[#This Row],[Time On]]</f>
        <v>3.3074999999999993E-2</v>
      </c>
      <c r="K156" s="1">
        <f>Table1[[#This Row],[Energy/Cycle]]-Table1[[#This Row],[Edc]]</f>
        <v>1.1025E-2</v>
      </c>
      <c r="L156" s="1">
        <f>2*Table1[[#This Row],[E Capacitor]]/(Vin^2-(Vin-V_ripple)^2)</f>
        <v>3.8148788927335668E-4</v>
      </c>
      <c r="M156" s="1">
        <f>Table1[[#This Row],[Energy/Cycle]]-(Table1[[#This Row],[E Capacitor]]+Table1[[#This Row],[Edc]])</f>
        <v>0</v>
      </c>
      <c r="N15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5.1142837658366203</v>
      </c>
    </row>
    <row r="157" spans="1:14" x14ac:dyDescent="0.25">
      <c r="A157">
        <v>0.755</v>
      </c>
      <c r="B157">
        <f t="shared" si="4"/>
        <v>22.196999999999999</v>
      </c>
      <c r="C157">
        <f>(Vin-Table1[[#This Row],[Vout]])*Table1[[#This Row],[Duty]]/(Frequency*Inductance)</f>
        <v>1.8127549999999999</v>
      </c>
      <c r="D157">
        <f>Irms-Table1[[#This Row],[Ripple Current (A)]]</f>
        <v>10.187245000000001</v>
      </c>
      <c r="E157">
        <f>Irms+Table1[[#This Row],[Ripple Current (A)]]</f>
        <v>13.812754999999999</v>
      </c>
      <c r="F157">
        <f>Table1[[#This Row],[Vout]]*(Table1[[#This Row],[Imin]]+Table1[[#This Row],[Ripple Current (A)]])</f>
        <v>266.36399999999998</v>
      </c>
      <c r="G157" s="1">
        <f>Table1[[#This Row],[Pout]]/Frequency</f>
        <v>4.4393999999999996E-2</v>
      </c>
      <c r="H157" s="1">
        <f>Table1[[#This Row],[Duty]]/Frequency</f>
        <v>1.2583333333333335E-4</v>
      </c>
      <c r="I157" s="1">
        <f>Table1[[#This Row],[Pout]]/Vin</f>
        <v>9.06</v>
      </c>
      <c r="J157" s="1">
        <f>Vin*Table1[[#This Row],[Idc]]*Table1[[#This Row],[Time On]]</f>
        <v>3.3517470000000001E-2</v>
      </c>
      <c r="K157" s="1">
        <f>Table1[[#This Row],[Energy/Cycle]]-Table1[[#This Row],[Edc]]</f>
        <v>1.0876529999999995E-2</v>
      </c>
      <c r="L157" s="1">
        <f>2*Table1[[#This Row],[E Capacitor]]/(Vin^2-(Vin-V_ripple)^2)</f>
        <v>3.7635051903114203E-4</v>
      </c>
      <c r="M157" s="1">
        <f>Table1[[#This Row],[Energy/Cycle]]-(Table1[[#This Row],[E Capacitor]]+Table1[[#This Row],[Edc]])</f>
        <v>0</v>
      </c>
      <c r="N15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5.08029556486074</v>
      </c>
    </row>
    <row r="158" spans="1:14" x14ac:dyDescent="0.25">
      <c r="A158">
        <v>0.76</v>
      </c>
      <c r="B158">
        <f t="shared" si="4"/>
        <v>22.343999999999998</v>
      </c>
      <c r="C158">
        <f>(Vin-Table1[[#This Row],[Vout]])*Table1[[#This Row],[Duty]]/(Frequency*Inductance)</f>
        <v>1.7875200000000004</v>
      </c>
      <c r="D158">
        <f>Irms-Table1[[#This Row],[Ripple Current (A)]]</f>
        <v>10.212479999999999</v>
      </c>
      <c r="E158">
        <f>Irms+Table1[[#This Row],[Ripple Current (A)]]</f>
        <v>13.787520000000001</v>
      </c>
      <c r="F158">
        <f>Table1[[#This Row],[Vout]]*(Table1[[#This Row],[Imin]]+Table1[[#This Row],[Ripple Current (A)]])</f>
        <v>268.12799999999999</v>
      </c>
      <c r="G158" s="1">
        <f>Table1[[#This Row],[Pout]]/Frequency</f>
        <v>4.4687999999999999E-2</v>
      </c>
      <c r="H158" s="1">
        <f>Table1[[#This Row],[Duty]]/Frequency</f>
        <v>1.2666666666666666E-4</v>
      </c>
      <c r="I158" s="1">
        <f>Table1[[#This Row],[Pout]]/Vin</f>
        <v>9.1199999999999992</v>
      </c>
      <c r="J158" s="1">
        <f>Vin*Table1[[#This Row],[Idc]]*Table1[[#This Row],[Time On]]</f>
        <v>3.3962880000000001E-2</v>
      </c>
      <c r="K158" s="1">
        <f>Table1[[#This Row],[Energy/Cycle]]-Table1[[#This Row],[Edc]]</f>
        <v>1.0725119999999998E-2</v>
      </c>
      <c r="L158" s="1">
        <f>2*Table1[[#This Row],[E Capacitor]]/(Vin^2-(Vin-V_ripple)^2)</f>
        <v>3.7111141868512133E-4</v>
      </c>
      <c r="M158" s="1">
        <f>Table1[[#This Row],[Energy/Cycle]]-(Table1[[#This Row],[E Capacitor]]+Table1[[#This Row],[Edc]])</f>
        <v>0</v>
      </c>
      <c r="N15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5.0454080413017142</v>
      </c>
    </row>
    <row r="159" spans="1:14" x14ac:dyDescent="0.25">
      <c r="A159">
        <v>0.76500000000000001</v>
      </c>
      <c r="B159">
        <f t="shared" si="4"/>
        <v>22.491</v>
      </c>
      <c r="C159">
        <f>(Vin-Table1[[#This Row],[Vout]])*Table1[[#This Row],[Duty]]/(Frequency*Inductance)</f>
        <v>1.7617949999999996</v>
      </c>
      <c r="D159">
        <f>Irms-Table1[[#This Row],[Ripple Current (A)]]</f>
        <v>10.238205000000001</v>
      </c>
      <c r="E159">
        <f>Irms+Table1[[#This Row],[Ripple Current (A)]]</f>
        <v>13.761794999999999</v>
      </c>
      <c r="F159">
        <f>Table1[[#This Row],[Vout]]*(Table1[[#This Row],[Imin]]+Table1[[#This Row],[Ripple Current (A)]])</f>
        <v>269.892</v>
      </c>
      <c r="G159" s="1">
        <f>Table1[[#This Row],[Pout]]/Frequency</f>
        <v>4.4982000000000001E-2</v>
      </c>
      <c r="H159" s="1">
        <f>Table1[[#This Row],[Duty]]/Frequency</f>
        <v>1.2750000000000001E-4</v>
      </c>
      <c r="I159" s="1">
        <f>Table1[[#This Row],[Pout]]/Vin</f>
        <v>9.18</v>
      </c>
      <c r="J159" s="1">
        <f>Vin*Table1[[#This Row],[Idc]]*Table1[[#This Row],[Time On]]</f>
        <v>3.4411230000000001E-2</v>
      </c>
      <c r="K159" s="1">
        <f>Table1[[#This Row],[Energy/Cycle]]-Table1[[#This Row],[Edc]]</f>
        <v>1.057077E-2</v>
      </c>
      <c r="L159" s="1">
        <f>2*Table1[[#This Row],[E Capacitor]]/(Vin^2-(Vin-V_ripple)^2)</f>
        <v>3.6577058823529442E-4</v>
      </c>
      <c r="M159" s="1">
        <f>Table1[[#This Row],[Energy/Cycle]]-(Table1[[#This Row],[E Capacitor]]+Table1[[#This Row],[Edc]])</f>
        <v>0</v>
      </c>
      <c r="N15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5.0096007811385155</v>
      </c>
    </row>
    <row r="160" spans="1:14" x14ac:dyDescent="0.25">
      <c r="A160">
        <v>0.77</v>
      </c>
      <c r="B160">
        <f t="shared" si="4"/>
        <v>22.637999999999998</v>
      </c>
      <c r="C160">
        <f>(Vin-Table1[[#This Row],[Vout]])*Table1[[#This Row],[Duty]]/(Frequency*Inductance)</f>
        <v>1.7355800000000003</v>
      </c>
      <c r="D160">
        <f>Irms-Table1[[#This Row],[Ripple Current (A)]]</f>
        <v>10.264419999999999</v>
      </c>
      <c r="E160">
        <f>Irms+Table1[[#This Row],[Ripple Current (A)]]</f>
        <v>13.735580000000001</v>
      </c>
      <c r="F160">
        <f>Table1[[#This Row],[Vout]]*(Table1[[#This Row],[Imin]]+Table1[[#This Row],[Ripple Current (A)]])</f>
        <v>271.65599999999995</v>
      </c>
      <c r="G160" s="1">
        <f>Table1[[#This Row],[Pout]]/Frequency</f>
        <v>4.527599999999999E-2</v>
      </c>
      <c r="H160" s="1">
        <f>Table1[[#This Row],[Duty]]/Frequency</f>
        <v>1.2833333333333333E-4</v>
      </c>
      <c r="I160" s="1">
        <f>Table1[[#This Row],[Pout]]/Vin</f>
        <v>9.2399999999999984</v>
      </c>
      <c r="J160" s="1">
        <f>Vin*Table1[[#This Row],[Idc]]*Table1[[#This Row],[Time On]]</f>
        <v>3.4862519999999994E-2</v>
      </c>
      <c r="K160" s="1">
        <f>Table1[[#This Row],[Energy/Cycle]]-Table1[[#This Row],[Edc]]</f>
        <v>1.0413479999999996E-2</v>
      </c>
      <c r="L160" s="1">
        <f>2*Table1[[#This Row],[E Capacitor]]/(Vin^2-(Vin-V_ripple)^2)</f>
        <v>3.6032802768166104E-4</v>
      </c>
      <c r="M160" s="1">
        <f>Table1[[#This Row],[Energy/Cycle]]-(Table1[[#This Row],[E Capacitor]]+Table1[[#This Row],[Edc]])</f>
        <v>0</v>
      </c>
      <c r="N16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4.9728521926211853</v>
      </c>
    </row>
    <row r="161" spans="1:14" x14ac:dyDescent="0.25">
      <c r="A161">
        <v>0.77500000000000002</v>
      </c>
      <c r="B161">
        <f t="shared" si="4"/>
        <v>22.785</v>
      </c>
      <c r="C161">
        <f>(Vin-Table1[[#This Row],[Vout]])*Table1[[#This Row],[Duty]]/(Frequency*Inductance)</f>
        <v>1.7088749999999997</v>
      </c>
      <c r="D161">
        <f>Irms-Table1[[#This Row],[Ripple Current (A)]]</f>
        <v>10.291125000000001</v>
      </c>
      <c r="E161">
        <f>Irms+Table1[[#This Row],[Ripple Current (A)]]</f>
        <v>13.708874999999999</v>
      </c>
      <c r="F161">
        <f>Table1[[#This Row],[Vout]]*(Table1[[#This Row],[Imin]]+Table1[[#This Row],[Ripple Current (A)]])</f>
        <v>273.42</v>
      </c>
      <c r="G161" s="1">
        <f>Table1[[#This Row],[Pout]]/Frequency</f>
        <v>4.5569999999999999E-2</v>
      </c>
      <c r="H161" s="1">
        <f>Table1[[#This Row],[Duty]]/Frequency</f>
        <v>1.2916666666666667E-4</v>
      </c>
      <c r="I161" s="1">
        <f>Table1[[#This Row],[Pout]]/Vin</f>
        <v>9.3000000000000007</v>
      </c>
      <c r="J161" s="1">
        <f>Vin*Table1[[#This Row],[Idc]]*Table1[[#This Row],[Time On]]</f>
        <v>3.5316750000000001E-2</v>
      </c>
      <c r="K161" s="1">
        <f>Table1[[#This Row],[Energy/Cycle]]-Table1[[#This Row],[Edc]]</f>
        <v>1.0253249999999998E-2</v>
      </c>
      <c r="L161" s="1">
        <f>2*Table1[[#This Row],[E Capacitor]]/(Vin^2-(Vin-V_ripple)^2)</f>
        <v>3.5478373702422166E-4</v>
      </c>
      <c r="M161" s="1">
        <f>Table1[[#This Row],[Energy/Cycle]]-(Table1[[#This Row],[E Capacitor]]+Table1[[#This Row],[Edc]])</f>
        <v>0</v>
      </c>
      <c r="N16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4.9351394215915398</v>
      </c>
    </row>
    <row r="162" spans="1:14" x14ac:dyDescent="0.25">
      <c r="A162">
        <v>0.78</v>
      </c>
      <c r="B162">
        <f t="shared" si="4"/>
        <v>22.931999999999999</v>
      </c>
      <c r="C162">
        <f>(Vin-Table1[[#This Row],[Vout]])*Table1[[#This Row],[Duty]]/(Frequency*Inductance)</f>
        <v>1.6816800000000001</v>
      </c>
      <c r="D162">
        <f>Irms-Table1[[#This Row],[Ripple Current (A)]]</f>
        <v>10.31832</v>
      </c>
      <c r="E162">
        <f>Irms+Table1[[#This Row],[Ripple Current (A)]]</f>
        <v>13.68168</v>
      </c>
      <c r="F162">
        <f>Table1[[#This Row],[Vout]]*(Table1[[#This Row],[Imin]]+Table1[[#This Row],[Ripple Current (A)]])</f>
        <v>275.18399999999997</v>
      </c>
      <c r="G162" s="1">
        <f>Table1[[#This Row],[Pout]]/Frequency</f>
        <v>4.5863999999999995E-2</v>
      </c>
      <c r="H162" s="1">
        <f>Table1[[#This Row],[Duty]]/Frequency</f>
        <v>1.3000000000000002E-4</v>
      </c>
      <c r="I162" s="1">
        <f>Table1[[#This Row],[Pout]]/Vin</f>
        <v>9.36</v>
      </c>
      <c r="J162" s="1">
        <f>Vin*Table1[[#This Row],[Idc]]*Table1[[#This Row],[Time On]]</f>
        <v>3.5773920000000001E-2</v>
      </c>
      <c r="K162" s="1">
        <f>Table1[[#This Row],[Energy/Cycle]]-Table1[[#This Row],[Edc]]</f>
        <v>1.0090079999999994E-2</v>
      </c>
      <c r="L162" s="1">
        <f>2*Table1[[#This Row],[E Capacitor]]/(Vin^2-(Vin-V_ripple)^2)</f>
        <v>3.4913771626297587E-4</v>
      </c>
      <c r="M162" s="1">
        <f>Table1[[#This Row],[Energy/Cycle]]-(Table1[[#This Row],[E Capacitor]]+Table1[[#This Row],[Edc]])</f>
        <v>0</v>
      </c>
      <c r="N16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4.8964382583849657</v>
      </c>
    </row>
    <row r="163" spans="1:14" x14ac:dyDescent="0.25">
      <c r="A163">
        <v>0.78500000000000003</v>
      </c>
      <c r="B163">
        <f t="shared" si="4"/>
        <v>23.079000000000001</v>
      </c>
      <c r="C163">
        <f>(Vin-Table1[[#This Row],[Vout]])*Table1[[#This Row],[Duty]]/(Frequency*Inductance)</f>
        <v>1.6539949999999994</v>
      </c>
      <c r="D163">
        <f>Irms-Table1[[#This Row],[Ripple Current (A)]]</f>
        <v>10.346005</v>
      </c>
      <c r="E163">
        <f>Irms+Table1[[#This Row],[Ripple Current (A)]]</f>
        <v>13.653995</v>
      </c>
      <c r="F163">
        <f>Table1[[#This Row],[Vout]]*(Table1[[#This Row],[Imin]]+Table1[[#This Row],[Ripple Current (A)]])</f>
        <v>276.94799999999998</v>
      </c>
      <c r="G163" s="1">
        <f>Table1[[#This Row],[Pout]]/Frequency</f>
        <v>4.6157999999999998E-2</v>
      </c>
      <c r="H163" s="1">
        <f>Table1[[#This Row],[Duty]]/Frequency</f>
        <v>1.3083333333333333E-4</v>
      </c>
      <c r="I163" s="1">
        <f>Table1[[#This Row],[Pout]]/Vin</f>
        <v>9.42</v>
      </c>
      <c r="J163" s="1">
        <f>Vin*Table1[[#This Row],[Idc]]*Table1[[#This Row],[Time On]]</f>
        <v>3.623403E-2</v>
      </c>
      <c r="K163" s="1">
        <f>Table1[[#This Row],[Energy/Cycle]]-Table1[[#This Row],[Edc]]</f>
        <v>9.9239699999999972E-3</v>
      </c>
      <c r="L163" s="1">
        <f>2*Table1[[#This Row],[E Capacitor]]/(Vin^2-(Vin-V_ripple)^2)</f>
        <v>3.4338996539792403E-4</v>
      </c>
      <c r="M163" s="1">
        <f>Table1[[#This Row],[Energy/Cycle]]-(Table1[[#This Row],[E Capacitor]]+Table1[[#This Row],[Edc]])</f>
        <v>0</v>
      </c>
      <c r="N16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4.8567230352670361</v>
      </c>
    </row>
    <row r="164" spans="1:14" x14ac:dyDescent="0.25">
      <c r="A164">
        <v>0.79</v>
      </c>
      <c r="B164">
        <f t="shared" si="4"/>
        <v>23.225999999999999</v>
      </c>
      <c r="C164">
        <f>(Vin-Table1[[#This Row],[Vout]])*Table1[[#This Row],[Duty]]/(Frequency*Inductance)</f>
        <v>1.62582</v>
      </c>
      <c r="D164">
        <f>Irms-Table1[[#This Row],[Ripple Current (A)]]</f>
        <v>10.374179999999999</v>
      </c>
      <c r="E164">
        <f>Irms+Table1[[#This Row],[Ripple Current (A)]]</f>
        <v>13.625820000000001</v>
      </c>
      <c r="F164">
        <f>Table1[[#This Row],[Vout]]*(Table1[[#This Row],[Imin]]+Table1[[#This Row],[Ripple Current (A)]])</f>
        <v>278.71199999999999</v>
      </c>
      <c r="G164" s="1">
        <f>Table1[[#This Row],[Pout]]/Frequency</f>
        <v>4.6452E-2</v>
      </c>
      <c r="H164" s="1">
        <f>Table1[[#This Row],[Duty]]/Frequency</f>
        <v>1.3166666666666668E-4</v>
      </c>
      <c r="I164" s="1">
        <f>Table1[[#This Row],[Pout]]/Vin</f>
        <v>9.48</v>
      </c>
      <c r="J164" s="1">
        <f>Vin*Table1[[#This Row],[Idc]]*Table1[[#This Row],[Time On]]</f>
        <v>3.669708E-2</v>
      </c>
      <c r="K164" s="1">
        <f>Table1[[#This Row],[Energy/Cycle]]-Table1[[#This Row],[Edc]]</f>
        <v>9.7549200000000003E-3</v>
      </c>
      <c r="L164" s="1">
        <f>2*Table1[[#This Row],[E Capacitor]]/(Vin^2-(Vin-V_ripple)^2)</f>
        <v>3.3754048442906603E-4</v>
      </c>
      <c r="M164" s="1">
        <f>Table1[[#This Row],[Energy/Cycle]]-(Table1[[#This Row],[E Capacitor]]+Table1[[#This Row],[Edc]])</f>
        <v>0</v>
      </c>
      <c r="N16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4.815966513200439</v>
      </c>
    </row>
    <row r="165" spans="1:14" x14ac:dyDescent="0.25">
      <c r="A165">
        <v>0.79500000000000004</v>
      </c>
      <c r="B165">
        <f t="shared" si="4"/>
        <v>23.373000000000001</v>
      </c>
      <c r="C165">
        <f>(Vin-Table1[[#This Row],[Vout]])*Table1[[#This Row],[Duty]]/(Frequency*Inductance)</f>
        <v>1.5971549999999992</v>
      </c>
      <c r="D165">
        <f>Irms-Table1[[#This Row],[Ripple Current (A)]]</f>
        <v>10.402845000000001</v>
      </c>
      <c r="E165">
        <f>Irms+Table1[[#This Row],[Ripple Current (A)]]</f>
        <v>13.597154999999999</v>
      </c>
      <c r="F165">
        <f>Table1[[#This Row],[Vout]]*(Table1[[#This Row],[Imin]]+Table1[[#This Row],[Ripple Current (A)]])</f>
        <v>280.476</v>
      </c>
      <c r="G165" s="1">
        <f>Table1[[#This Row],[Pout]]/Frequency</f>
        <v>4.6746000000000003E-2</v>
      </c>
      <c r="H165" s="1">
        <f>Table1[[#This Row],[Duty]]/Frequency</f>
        <v>1.325E-4</v>
      </c>
      <c r="I165" s="1">
        <f>Table1[[#This Row],[Pout]]/Vin</f>
        <v>9.5400000000000009</v>
      </c>
      <c r="J165" s="1">
        <f>Vin*Table1[[#This Row],[Idc]]*Table1[[#This Row],[Time On]]</f>
        <v>3.7163069999999999E-2</v>
      </c>
      <c r="K165" s="1">
        <f>Table1[[#This Row],[Energy/Cycle]]-Table1[[#This Row],[Edc]]</f>
        <v>9.5829300000000034E-3</v>
      </c>
      <c r="L165" s="1">
        <f>2*Table1[[#This Row],[E Capacitor]]/(Vin^2-(Vin-V_ripple)^2)</f>
        <v>3.3158927335640178E-4</v>
      </c>
      <c r="M165" s="1">
        <f>Table1[[#This Row],[Energy/Cycle]]-(Table1[[#This Row],[E Capacitor]]+Table1[[#This Row],[Edc]])</f>
        <v>0</v>
      </c>
      <c r="N16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4.7741397565512651</v>
      </c>
    </row>
    <row r="166" spans="1:14" x14ac:dyDescent="0.25">
      <c r="A166">
        <v>0.8</v>
      </c>
      <c r="B166">
        <f t="shared" si="4"/>
        <v>23.52</v>
      </c>
      <c r="C166">
        <f>(Vin-Table1[[#This Row],[Vout]])*Table1[[#This Row],[Duty]]/(Frequency*Inductance)</f>
        <v>1.5679999999999998</v>
      </c>
      <c r="D166">
        <f>Irms-Table1[[#This Row],[Ripple Current (A)]]</f>
        <v>10.432</v>
      </c>
      <c r="E166">
        <f>Irms+Table1[[#This Row],[Ripple Current (A)]]</f>
        <v>13.568</v>
      </c>
      <c r="F166">
        <f>Table1[[#This Row],[Vout]]*(Table1[[#This Row],[Imin]]+Table1[[#This Row],[Ripple Current (A)]])</f>
        <v>282.24</v>
      </c>
      <c r="G166" s="1">
        <f>Table1[[#This Row],[Pout]]/Frequency</f>
        <v>4.7039999999999998E-2</v>
      </c>
      <c r="H166" s="1">
        <f>Table1[[#This Row],[Duty]]/Frequency</f>
        <v>1.3333333333333334E-4</v>
      </c>
      <c r="I166" s="1">
        <f>Table1[[#This Row],[Pout]]/Vin</f>
        <v>9.6000000000000014</v>
      </c>
      <c r="J166" s="1">
        <f>Vin*Table1[[#This Row],[Idc]]*Table1[[#This Row],[Time On]]</f>
        <v>3.7632000000000006E-2</v>
      </c>
      <c r="K166" s="1">
        <f>Table1[[#This Row],[Energy/Cycle]]-Table1[[#This Row],[Edc]]</f>
        <v>9.4079999999999928E-3</v>
      </c>
      <c r="L166" s="1">
        <f>2*Table1[[#This Row],[E Capacitor]]/(Vin^2-(Vin-V_ripple)^2)</f>
        <v>3.2553633217993083E-4</v>
      </c>
      <c r="M166" s="1">
        <f>Table1[[#This Row],[Energy/Cycle]]-(Table1[[#This Row],[E Capacitor]]+Table1[[#This Row],[Edc]])</f>
        <v>0</v>
      </c>
      <c r="N16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4.731211994123</v>
      </c>
    </row>
    <row r="167" spans="1:14" x14ac:dyDescent="0.25">
      <c r="A167">
        <v>0.80500000000000005</v>
      </c>
      <c r="B167">
        <f t="shared" ref="B167:B198" si="5">A167*Vin</f>
        <v>23.667000000000002</v>
      </c>
      <c r="C167">
        <f>(Vin-Table1[[#This Row],[Vout]])*Table1[[#This Row],[Duty]]/(Frequency*Inductance)</f>
        <v>1.5383549999999993</v>
      </c>
      <c r="D167">
        <f>Irms-Table1[[#This Row],[Ripple Current (A)]]</f>
        <v>10.461645000000001</v>
      </c>
      <c r="E167">
        <f>Irms+Table1[[#This Row],[Ripple Current (A)]]</f>
        <v>13.538354999999999</v>
      </c>
      <c r="F167">
        <f>Table1[[#This Row],[Vout]]*(Table1[[#This Row],[Imin]]+Table1[[#This Row],[Ripple Current (A)]])</f>
        <v>284.00400000000002</v>
      </c>
      <c r="G167" s="1">
        <f>Table1[[#This Row],[Pout]]/Frequency</f>
        <v>4.7334000000000001E-2</v>
      </c>
      <c r="H167" s="1">
        <f>Table1[[#This Row],[Duty]]/Frequency</f>
        <v>1.3416666666666668E-4</v>
      </c>
      <c r="I167" s="1">
        <f>Table1[[#This Row],[Pout]]/Vin</f>
        <v>9.6600000000000019</v>
      </c>
      <c r="J167" s="1">
        <f>Vin*Table1[[#This Row],[Idc]]*Table1[[#This Row],[Time On]]</f>
        <v>3.8103870000000005E-2</v>
      </c>
      <c r="K167" s="1">
        <f>Table1[[#This Row],[Energy/Cycle]]-Table1[[#This Row],[Edc]]</f>
        <v>9.2301299999999961E-3</v>
      </c>
      <c r="L167" s="1">
        <f>2*Table1[[#This Row],[E Capacitor]]/(Vin^2-(Vin-V_ripple)^2)</f>
        <v>3.1938166089965411E-4</v>
      </c>
      <c r="M167" s="1">
        <f>Table1[[#This Row],[Energy/Cycle]]-(Table1[[#This Row],[E Capacitor]]+Table1[[#This Row],[Edc]])</f>
        <v>0</v>
      </c>
      <c r="N16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4.6871504646444428</v>
      </c>
    </row>
    <row r="168" spans="1:14" x14ac:dyDescent="0.25">
      <c r="A168">
        <v>0.81</v>
      </c>
      <c r="B168">
        <f t="shared" si="5"/>
        <v>23.814</v>
      </c>
      <c r="C168">
        <f>(Vin-Table1[[#This Row],[Vout]])*Table1[[#This Row],[Duty]]/(Frequency*Inductance)</f>
        <v>1.5082199999999997</v>
      </c>
      <c r="D168">
        <f>Irms-Table1[[#This Row],[Ripple Current (A)]]</f>
        <v>10.49178</v>
      </c>
      <c r="E168">
        <f>Irms+Table1[[#This Row],[Ripple Current (A)]]</f>
        <v>13.50822</v>
      </c>
      <c r="F168">
        <f>Table1[[#This Row],[Vout]]*(Table1[[#This Row],[Imin]]+Table1[[#This Row],[Ripple Current (A)]])</f>
        <v>285.76800000000003</v>
      </c>
      <c r="G168" s="1">
        <f>Table1[[#This Row],[Pout]]/Frequency</f>
        <v>4.7628000000000004E-2</v>
      </c>
      <c r="H168" s="1">
        <f>Table1[[#This Row],[Duty]]/Frequency</f>
        <v>1.35E-4</v>
      </c>
      <c r="I168" s="1">
        <f>Table1[[#This Row],[Pout]]/Vin</f>
        <v>9.7200000000000006</v>
      </c>
      <c r="J168" s="1">
        <f>Vin*Table1[[#This Row],[Idc]]*Table1[[#This Row],[Time On]]</f>
        <v>3.8578680000000004E-2</v>
      </c>
      <c r="K168" s="1">
        <f>Table1[[#This Row],[Energy/Cycle]]-Table1[[#This Row],[Edc]]</f>
        <v>9.0493199999999996E-3</v>
      </c>
      <c r="L168" s="1">
        <f>2*Table1[[#This Row],[E Capacitor]]/(Vin^2-(Vin-V_ripple)^2)</f>
        <v>3.1312525951557118E-4</v>
      </c>
      <c r="M168" s="1">
        <f>Table1[[#This Row],[Energy/Cycle]]-(Table1[[#This Row],[E Capacitor]]+Table1[[#This Row],[Edc]])</f>
        <v>0</v>
      </c>
      <c r="N16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4.6419202445251031</v>
      </c>
    </row>
    <row r="169" spans="1:14" x14ac:dyDescent="0.25">
      <c r="A169">
        <v>0.81499999999999995</v>
      </c>
      <c r="B169">
        <f t="shared" si="5"/>
        <v>23.960999999999999</v>
      </c>
      <c r="C169">
        <f>(Vin-Table1[[#This Row],[Vout]])*Table1[[#This Row],[Duty]]/(Frequency*Inductance)</f>
        <v>1.477595</v>
      </c>
      <c r="D169">
        <f>Irms-Table1[[#This Row],[Ripple Current (A)]]</f>
        <v>10.522404999999999</v>
      </c>
      <c r="E169">
        <f>Irms+Table1[[#This Row],[Ripple Current (A)]]</f>
        <v>13.477595000000001</v>
      </c>
      <c r="F169">
        <f>Table1[[#This Row],[Vout]]*(Table1[[#This Row],[Imin]]+Table1[[#This Row],[Ripple Current (A)]])</f>
        <v>287.53199999999998</v>
      </c>
      <c r="G169" s="1">
        <f>Table1[[#This Row],[Pout]]/Frequency</f>
        <v>4.7921999999999999E-2</v>
      </c>
      <c r="H169" s="1">
        <f>Table1[[#This Row],[Duty]]/Frequency</f>
        <v>1.3583333333333332E-4</v>
      </c>
      <c r="I169" s="1">
        <f>Table1[[#This Row],[Pout]]/Vin</f>
        <v>9.7799999999999994</v>
      </c>
      <c r="J169" s="1">
        <f>Vin*Table1[[#This Row],[Idc]]*Table1[[#This Row],[Time On]]</f>
        <v>3.9056429999999996E-2</v>
      </c>
      <c r="K169" s="1">
        <f>Table1[[#This Row],[Energy/Cycle]]-Table1[[#This Row],[Edc]]</f>
        <v>8.8655700000000032E-3</v>
      </c>
      <c r="L169" s="1">
        <f>2*Table1[[#This Row],[E Capacitor]]/(Vin^2-(Vin-V_ripple)^2)</f>
        <v>3.0676712802768199E-4</v>
      </c>
      <c r="M169" s="1">
        <f>Table1[[#This Row],[Energy/Cycle]]-(Table1[[#This Row],[E Capacitor]]+Table1[[#This Row],[Edc]])</f>
        <v>0</v>
      </c>
      <c r="N16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4.5954840553170468</v>
      </c>
    </row>
    <row r="170" spans="1:14" x14ac:dyDescent="0.25">
      <c r="A170">
        <v>0.82</v>
      </c>
      <c r="B170">
        <f t="shared" si="5"/>
        <v>24.107999999999997</v>
      </c>
      <c r="C170">
        <f>(Vin-Table1[[#This Row],[Vout]])*Table1[[#This Row],[Duty]]/(Frequency*Inductance)</f>
        <v>1.4464800000000002</v>
      </c>
      <c r="D170">
        <f>Irms-Table1[[#This Row],[Ripple Current (A)]]</f>
        <v>10.553519999999999</v>
      </c>
      <c r="E170">
        <f>Irms+Table1[[#This Row],[Ripple Current (A)]]</f>
        <v>13.446480000000001</v>
      </c>
      <c r="F170">
        <f>Table1[[#This Row],[Vout]]*(Table1[[#This Row],[Imin]]+Table1[[#This Row],[Ripple Current (A)]])</f>
        <v>289.29599999999994</v>
      </c>
      <c r="G170" s="1">
        <f>Table1[[#This Row],[Pout]]/Frequency</f>
        <v>4.8215999999999988E-2</v>
      </c>
      <c r="H170" s="1">
        <f>Table1[[#This Row],[Duty]]/Frequency</f>
        <v>1.3666666666666666E-4</v>
      </c>
      <c r="I170" s="1">
        <f>Table1[[#This Row],[Pout]]/Vin</f>
        <v>9.8399999999999981</v>
      </c>
      <c r="J170" s="1">
        <f>Vin*Table1[[#This Row],[Idc]]*Table1[[#This Row],[Time On]]</f>
        <v>3.9537119999999988E-2</v>
      </c>
      <c r="K170" s="1">
        <f>Table1[[#This Row],[Energy/Cycle]]-Table1[[#This Row],[Edc]]</f>
        <v>8.6788799999999999E-3</v>
      </c>
      <c r="L170" s="1">
        <f>2*Table1[[#This Row],[E Capacitor]]/(Vin^2-(Vin-V_ripple)^2)</f>
        <v>3.0030726643598637E-4</v>
      </c>
      <c r="M170" s="1">
        <f>Table1[[#This Row],[Energy/Cycle]]-(Table1[[#This Row],[E Capacitor]]+Table1[[#This Row],[Edc]])</f>
        <v>0</v>
      </c>
      <c r="N17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4.5478020478714765</v>
      </c>
    </row>
    <row r="171" spans="1:14" x14ac:dyDescent="0.25">
      <c r="A171">
        <v>0.82499999999999996</v>
      </c>
      <c r="B171">
        <f t="shared" si="5"/>
        <v>24.254999999999999</v>
      </c>
      <c r="C171">
        <f>(Vin-Table1[[#This Row],[Vout]])*Table1[[#This Row],[Duty]]/(Frequency*Inductance)</f>
        <v>1.4148749999999997</v>
      </c>
      <c r="D171">
        <f>Irms-Table1[[#This Row],[Ripple Current (A)]]</f>
        <v>10.585125</v>
      </c>
      <c r="E171">
        <f>Irms+Table1[[#This Row],[Ripple Current (A)]]</f>
        <v>13.414875</v>
      </c>
      <c r="F171">
        <f>Table1[[#This Row],[Vout]]*(Table1[[#This Row],[Imin]]+Table1[[#This Row],[Ripple Current (A)]])</f>
        <v>291.06</v>
      </c>
      <c r="G171" s="1">
        <f>Table1[[#This Row],[Pout]]/Frequency</f>
        <v>4.8509999999999998E-2</v>
      </c>
      <c r="H171" s="1">
        <f>Table1[[#This Row],[Duty]]/Frequency</f>
        <v>1.3749999999999998E-4</v>
      </c>
      <c r="I171" s="1">
        <f>Table1[[#This Row],[Pout]]/Vin</f>
        <v>9.9</v>
      </c>
      <c r="J171" s="1">
        <f>Vin*Table1[[#This Row],[Idc]]*Table1[[#This Row],[Time On]]</f>
        <v>4.0020749999999994E-2</v>
      </c>
      <c r="K171" s="1">
        <f>Table1[[#This Row],[Energy/Cycle]]-Table1[[#This Row],[Edc]]</f>
        <v>8.4892500000000037E-3</v>
      </c>
      <c r="L171" s="1">
        <f>2*Table1[[#This Row],[E Capacitor]]/(Vin^2-(Vin-V_ripple)^2)</f>
        <v>2.9374567474048477E-4</v>
      </c>
      <c r="M171" s="1">
        <f>Table1[[#This Row],[Energy/Cycle]]-(Table1[[#This Row],[E Capacitor]]+Table1[[#This Row],[Edc]])</f>
        <v>0</v>
      </c>
      <c r="N17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4.4988315596333601</v>
      </c>
    </row>
    <row r="172" spans="1:14" x14ac:dyDescent="0.25">
      <c r="A172">
        <v>0.83</v>
      </c>
      <c r="B172">
        <f t="shared" si="5"/>
        <v>24.401999999999997</v>
      </c>
      <c r="C172">
        <f>(Vin-Table1[[#This Row],[Vout]])*Table1[[#This Row],[Duty]]/(Frequency*Inductance)</f>
        <v>1.3827800000000003</v>
      </c>
      <c r="D172">
        <f>Irms-Table1[[#This Row],[Ripple Current (A)]]</f>
        <v>10.61722</v>
      </c>
      <c r="E172">
        <f>Irms+Table1[[#This Row],[Ripple Current (A)]]</f>
        <v>13.38278</v>
      </c>
      <c r="F172">
        <f>Table1[[#This Row],[Vout]]*(Table1[[#This Row],[Imin]]+Table1[[#This Row],[Ripple Current (A)]])</f>
        <v>292.82399999999996</v>
      </c>
      <c r="G172" s="1">
        <f>Table1[[#This Row],[Pout]]/Frequency</f>
        <v>4.8803999999999993E-2</v>
      </c>
      <c r="H172" s="1">
        <f>Table1[[#This Row],[Duty]]/Frequency</f>
        <v>1.3833333333333333E-4</v>
      </c>
      <c r="I172" s="1">
        <f>Table1[[#This Row],[Pout]]/Vin</f>
        <v>9.9599999999999991</v>
      </c>
      <c r="J172" s="1">
        <f>Vin*Table1[[#This Row],[Idc]]*Table1[[#This Row],[Time On]]</f>
        <v>4.0507319999999992E-2</v>
      </c>
      <c r="K172" s="1">
        <f>Table1[[#This Row],[Energy/Cycle]]-Table1[[#This Row],[Edc]]</f>
        <v>8.2966800000000007E-3</v>
      </c>
      <c r="L172" s="1">
        <f>2*Table1[[#This Row],[E Capacitor]]/(Vin^2-(Vin-V_ripple)^2)</f>
        <v>2.8708235294117675E-4</v>
      </c>
      <c r="M172" s="1">
        <f>Table1[[#This Row],[Energy/Cycle]]-(Table1[[#This Row],[E Capacitor]]+Table1[[#This Row],[Edc]])</f>
        <v>0</v>
      </c>
      <c r="N17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4.4485268408552212</v>
      </c>
    </row>
    <row r="173" spans="1:14" x14ac:dyDescent="0.25">
      <c r="A173">
        <v>0.83499999999999996</v>
      </c>
      <c r="B173">
        <f t="shared" si="5"/>
        <v>24.548999999999999</v>
      </c>
      <c r="C173">
        <f>(Vin-Table1[[#This Row],[Vout]])*Table1[[#This Row],[Duty]]/(Frequency*Inductance)</f>
        <v>1.3501949999999996</v>
      </c>
      <c r="D173">
        <f>Irms-Table1[[#This Row],[Ripple Current (A)]]</f>
        <v>10.649805000000001</v>
      </c>
      <c r="E173">
        <f>Irms+Table1[[#This Row],[Ripple Current (A)]]</f>
        <v>13.350194999999999</v>
      </c>
      <c r="F173">
        <f>Table1[[#This Row],[Vout]]*(Table1[[#This Row],[Imin]]+Table1[[#This Row],[Ripple Current (A)]])</f>
        <v>294.58799999999997</v>
      </c>
      <c r="G173" s="1">
        <f>Table1[[#This Row],[Pout]]/Frequency</f>
        <v>4.9097999999999996E-2</v>
      </c>
      <c r="H173" s="1">
        <f>Table1[[#This Row],[Duty]]/Frequency</f>
        <v>1.3916666666666667E-4</v>
      </c>
      <c r="I173" s="1">
        <f>Table1[[#This Row],[Pout]]/Vin</f>
        <v>10.02</v>
      </c>
      <c r="J173" s="1">
        <f>Vin*Table1[[#This Row],[Idc]]*Table1[[#This Row],[Time On]]</f>
        <v>4.0996829999999998E-2</v>
      </c>
      <c r="K173" s="1">
        <f>Table1[[#This Row],[Energy/Cycle]]-Table1[[#This Row],[Edc]]</f>
        <v>8.1011699999999978E-3</v>
      </c>
      <c r="L173" s="1">
        <f>2*Table1[[#This Row],[E Capacitor]]/(Vin^2-(Vin-V_ripple)^2)</f>
        <v>2.803173010380624E-4</v>
      </c>
      <c r="M173" s="1">
        <f>Table1[[#This Row],[Energy/Cycle]]-(Table1[[#This Row],[E Capacitor]]+Table1[[#This Row],[Edc]])</f>
        <v>0</v>
      </c>
      <c r="N17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4.3968387447024231</v>
      </c>
    </row>
    <row r="174" spans="1:14" x14ac:dyDescent="0.25">
      <c r="A174">
        <v>0.84</v>
      </c>
      <c r="B174">
        <f t="shared" si="5"/>
        <v>24.695999999999998</v>
      </c>
      <c r="C174">
        <f>(Vin-Table1[[#This Row],[Vout]])*Table1[[#This Row],[Duty]]/(Frequency*Inductance)</f>
        <v>1.3171200000000001</v>
      </c>
      <c r="D174">
        <f>Irms-Table1[[#This Row],[Ripple Current (A)]]</f>
        <v>10.682880000000001</v>
      </c>
      <c r="E174">
        <f>Irms+Table1[[#This Row],[Ripple Current (A)]]</f>
        <v>13.317119999999999</v>
      </c>
      <c r="F174">
        <f>Table1[[#This Row],[Vout]]*(Table1[[#This Row],[Imin]]+Table1[[#This Row],[Ripple Current (A)]])</f>
        <v>296.35199999999998</v>
      </c>
      <c r="G174" s="1">
        <f>Table1[[#This Row],[Pout]]/Frequency</f>
        <v>4.9391999999999998E-2</v>
      </c>
      <c r="H174" s="1">
        <f>Table1[[#This Row],[Duty]]/Frequency</f>
        <v>1.3999999999999999E-4</v>
      </c>
      <c r="I174" s="1">
        <f>Table1[[#This Row],[Pout]]/Vin</f>
        <v>10.08</v>
      </c>
      <c r="J174" s="1">
        <f>Vin*Table1[[#This Row],[Idc]]*Table1[[#This Row],[Time On]]</f>
        <v>4.148927999999999E-2</v>
      </c>
      <c r="K174" s="1">
        <f>Table1[[#This Row],[Energy/Cycle]]-Table1[[#This Row],[Edc]]</f>
        <v>7.9027200000000089E-3</v>
      </c>
      <c r="L174" s="1">
        <f>2*Table1[[#This Row],[E Capacitor]]/(Vin^2-(Vin-V_ripple)^2)</f>
        <v>2.734505190311424E-4</v>
      </c>
      <c r="M174" s="1">
        <f>Table1[[#This Row],[Energy/Cycle]]-(Table1[[#This Row],[E Capacitor]]+Table1[[#This Row],[Edc]])</f>
        <v>0</v>
      </c>
      <c r="N17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4.3437143752286484</v>
      </c>
    </row>
    <row r="175" spans="1:14" x14ac:dyDescent="0.25">
      <c r="A175">
        <v>0.84499999999999997</v>
      </c>
      <c r="B175">
        <f t="shared" si="5"/>
        <v>24.842999999999996</v>
      </c>
      <c r="C175">
        <f>(Vin-Table1[[#This Row],[Vout]])*Table1[[#This Row],[Duty]]/(Frequency*Inductance)</f>
        <v>1.2835550000000004</v>
      </c>
      <c r="D175">
        <f>Irms-Table1[[#This Row],[Ripple Current (A)]]</f>
        <v>10.716445</v>
      </c>
      <c r="E175">
        <f>Irms+Table1[[#This Row],[Ripple Current (A)]]</f>
        <v>13.283555</v>
      </c>
      <c r="F175">
        <f>Table1[[#This Row],[Vout]]*(Table1[[#This Row],[Imin]]+Table1[[#This Row],[Ripple Current (A)]])</f>
        <v>298.11599999999999</v>
      </c>
      <c r="G175" s="1">
        <f>Table1[[#This Row],[Pout]]/Frequency</f>
        <v>4.9686000000000001E-2</v>
      </c>
      <c r="H175" s="1">
        <f>Table1[[#This Row],[Duty]]/Frequency</f>
        <v>1.4083333333333333E-4</v>
      </c>
      <c r="I175" s="1">
        <f>Table1[[#This Row],[Pout]]/Vin</f>
        <v>10.14</v>
      </c>
      <c r="J175" s="1">
        <f>Vin*Table1[[#This Row],[Idc]]*Table1[[#This Row],[Time On]]</f>
        <v>4.1984669999999995E-2</v>
      </c>
      <c r="K175" s="1">
        <f>Table1[[#This Row],[Energy/Cycle]]-Table1[[#This Row],[Edc]]</f>
        <v>7.7013300000000062E-3</v>
      </c>
      <c r="L175" s="1">
        <f>2*Table1[[#This Row],[E Capacitor]]/(Vin^2-(Vin-V_ripple)^2)</f>
        <v>2.6648200692041564E-4</v>
      </c>
      <c r="M175" s="1">
        <f>Table1[[#This Row],[Energy/Cycle]]-(Table1[[#This Row],[E Capacitor]]+Table1[[#This Row],[Edc]])</f>
        <v>0</v>
      </c>
      <c r="N17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4.2890966859728126</v>
      </c>
    </row>
    <row r="176" spans="1:14" x14ac:dyDescent="0.25">
      <c r="A176">
        <v>0.85</v>
      </c>
      <c r="B176">
        <f t="shared" si="5"/>
        <v>24.99</v>
      </c>
      <c r="C176">
        <f>(Vin-Table1[[#This Row],[Vout]])*Table1[[#This Row],[Duty]]/(Frequency*Inductance)</f>
        <v>1.2495000000000001</v>
      </c>
      <c r="D176">
        <f>Irms-Table1[[#This Row],[Ripple Current (A)]]</f>
        <v>10.750500000000001</v>
      </c>
      <c r="E176">
        <f>Irms+Table1[[#This Row],[Ripple Current (A)]]</f>
        <v>13.249499999999999</v>
      </c>
      <c r="F176">
        <f>Table1[[#This Row],[Vout]]*(Table1[[#This Row],[Imin]]+Table1[[#This Row],[Ripple Current (A)]])</f>
        <v>299.88</v>
      </c>
      <c r="G176" s="1">
        <f>Table1[[#This Row],[Pout]]/Frequency</f>
        <v>4.9979999999999997E-2</v>
      </c>
      <c r="H176" s="1">
        <f>Table1[[#This Row],[Duty]]/Frequency</f>
        <v>1.4166666666666665E-4</v>
      </c>
      <c r="I176" s="1">
        <f>Table1[[#This Row],[Pout]]/Vin</f>
        <v>10.200000000000001</v>
      </c>
      <c r="J176" s="1">
        <f>Vin*Table1[[#This Row],[Idc]]*Table1[[#This Row],[Time On]]</f>
        <v>4.2482999999999993E-2</v>
      </c>
      <c r="K176" s="1">
        <f>Table1[[#This Row],[Energy/Cycle]]-Table1[[#This Row],[Edc]]</f>
        <v>7.4970000000000037E-3</v>
      </c>
      <c r="L176" s="1">
        <f>2*Table1[[#This Row],[E Capacitor]]/(Vin^2-(Vin-V_ripple)^2)</f>
        <v>2.5941176470588268E-4</v>
      </c>
      <c r="M176" s="1">
        <f>Table1[[#This Row],[Energy/Cycle]]-(Table1[[#This Row],[E Capacitor]]+Table1[[#This Row],[Edc]])</f>
        <v>0</v>
      </c>
      <c r="N17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4.2329240204024456</v>
      </c>
    </row>
    <row r="177" spans="1:14" x14ac:dyDescent="0.25">
      <c r="A177">
        <v>0.85499999999999998</v>
      </c>
      <c r="B177">
        <f t="shared" si="5"/>
        <v>25.136999999999997</v>
      </c>
      <c r="C177">
        <f>(Vin-Table1[[#This Row],[Vout]])*Table1[[#This Row],[Duty]]/(Frequency*Inductance)</f>
        <v>1.2149550000000005</v>
      </c>
      <c r="D177">
        <f>Irms-Table1[[#This Row],[Ripple Current (A)]]</f>
        <v>10.785045</v>
      </c>
      <c r="E177">
        <f>Irms+Table1[[#This Row],[Ripple Current (A)]]</f>
        <v>13.214955</v>
      </c>
      <c r="F177">
        <f>Table1[[#This Row],[Vout]]*(Table1[[#This Row],[Imin]]+Table1[[#This Row],[Ripple Current (A)]])</f>
        <v>301.64399999999995</v>
      </c>
      <c r="G177" s="1">
        <f>Table1[[#This Row],[Pout]]/Frequency</f>
        <v>5.0273999999999992E-2</v>
      </c>
      <c r="H177" s="1">
        <f>Table1[[#This Row],[Duty]]/Frequency</f>
        <v>1.4249999999999999E-4</v>
      </c>
      <c r="I177" s="1">
        <f>Table1[[#This Row],[Pout]]/Vin</f>
        <v>10.259999999999998</v>
      </c>
      <c r="J177" s="1">
        <f>Vin*Table1[[#This Row],[Idc]]*Table1[[#This Row],[Time On]]</f>
        <v>4.2984269999999991E-2</v>
      </c>
      <c r="K177" s="1">
        <f>Table1[[#This Row],[Energy/Cycle]]-Table1[[#This Row],[Edc]]</f>
        <v>7.2897300000000012E-3</v>
      </c>
      <c r="L177" s="1">
        <f>2*Table1[[#This Row],[E Capacitor]]/(Vin^2-(Vin-V_ripple)^2)</f>
        <v>2.5223979238754351E-4</v>
      </c>
      <c r="M177" s="1">
        <f>Table1[[#This Row],[Energy/Cycle]]-(Table1[[#This Row],[E Capacitor]]+Table1[[#This Row],[Edc]])</f>
        <v>0</v>
      </c>
      <c r="N17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4.1751295835186815</v>
      </c>
    </row>
    <row r="178" spans="1:14" x14ac:dyDescent="0.25">
      <c r="A178">
        <v>0.86</v>
      </c>
      <c r="B178">
        <f t="shared" si="5"/>
        <v>25.283999999999999</v>
      </c>
      <c r="C178">
        <f>(Vin-Table1[[#This Row],[Vout]])*Table1[[#This Row],[Duty]]/(Frequency*Inductance)</f>
        <v>1.1799199999999999</v>
      </c>
      <c r="D178">
        <f>Irms-Table1[[#This Row],[Ripple Current (A)]]</f>
        <v>10.820080000000001</v>
      </c>
      <c r="E178">
        <f>Irms+Table1[[#This Row],[Ripple Current (A)]]</f>
        <v>13.179919999999999</v>
      </c>
      <c r="F178">
        <f>Table1[[#This Row],[Vout]]*(Table1[[#This Row],[Imin]]+Table1[[#This Row],[Ripple Current (A)]])</f>
        <v>303.40800000000002</v>
      </c>
      <c r="G178" s="1">
        <f>Table1[[#This Row],[Pout]]/Frequency</f>
        <v>5.0568000000000002E-2</v>
      </c>
      <c r="H178" s="1">
        <f>Table1[[#This Row],[Duty]]/Frequency</f>
        <v>1.4333333333333334E-4</v>
      </c>
      <c r="I178" s="1">
        <f>Table1[[#This Row],[Pout]]/Vin</f>
        <v>10.32</v>
      </c>
      <c r="J178" s="1">
        <f>Vin*Table1[[#This Row],[Idc]]*Table1[[#This Row],[Time On]]</f>
        <v>4.3488480000000003E-2</v>
      </c>
      <c r="K178" s="1">
        <f>Table1[[#This Row],[Energy/Cycle]]-Table1[[#This Row],[Edc]]</f>
        <v>7.0795199999999989E-3</v>
      </c>
      <c r="L178" s="1">
        <f>2*Table1[[#This Row],[E Capacitor]]/(Vin^2-(Vin-V_ripple)^2)</f>
        <v>2.4496608996539809E-4</v>
      </c>
      <c r="M178" s="1">
        <f>Table1[[#This Row],[Energy/Cycle]]-(Table1[[#This Row],[E Capacitor]]+Table1[[#This Row],[Edc]])</f>
        <v>0</v>
      </c>
      <c r="N17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4.1156408315310191</v>
      </c>
    </row>
    <row r="179" spans="1:14" x14ac:dyDescent="0.25">
      <c r="A179">
        <v>0.86499999999999999</v>
      </c>
      <c r="B179">
        <f t="shared" si="5"/>
        <v>25.430999999999997</v>
      </c>
      <c r="C179">
        <f>(Vin-Table1[[#This Row],[Vout]])*Table1[[#This Row],[Duty]]/(Frequency*Inductance)</f>
        <v>1.1443950000000003</v>
      </c>
      <c r="D179">
        <f>Irms-Table1[[#This Row],[Ripple Current (A)]]</f>
        <v>10.855605000000001</v>
      </c>
      <c r="E179">
        <f>Irms+Table1[[#This Row],[Ripple Current (A)]]</f>
        <v>13.144394999999999</v>
      </c>
      <c r="F179">
        <f>Table1[[#This Row],[Vout]]*(Table1[[#This Row],[Imin]]+Table1[[#This Row],[Ripple Current (A)]])</f>
        <v>305.17199999999997</v>
      </c>
      <c r="G179" s="1">
        <f>Table1[[#This Row],[Pout]]/Frequency</f>
        <v>5.0861999999999997E-2</v>
      </c>
      <c r="H179" s="1">
        <f>Table1[[#This Row],[Duty]]/Frequency</f>
        <v>1.4416666666666666E-4</v>
      </c>
      <c r="I179" s="1">
        <f>Table1[[#This Row],[Pout]]/Vin</f>
        <v>10.379999999999999</v>
      </c>
      <c r="J179" s="1">
        <f>Vin*Table1[[#This Row],[Idc]]*Table1[[#This Row],[Time On]]</f>
        <v>4.3995629999999994E-2</v>
      </c>
      <c r="K179" s="1">
        <f>Table1[[#This Row],[Energy/Cycle]]-Table1[[#This Row],[Edc]]</f>
        <v>6.8663700000000036E-3</v>
      </c>
      <c r="L179" s="1">
        <f>2*Table1[[#This Row],[E Capacitor]]/(Vin^2-(Vin-V_ripple)^2)</f>
        <v>2.3759065743944667E-4</v>
      </c>
      <c r="M179" s="1">
        <f>Table1[[#This Row],[Energy/Cycle]]-(Table1[[#This Row],[E Capacitor]]+Table1[[#This Row],[Edc]])</f>
        <v>0</v>
      </c>
      <c r="N17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4.0543787634539186</v>
      </c>
    </row>
    <row r="180" spans="1:14" x14ac:dyDescent="0.25">
      <c r="A180">
        <v>0.87</v>
      </c>
      <c r="B180">
        <f t="shared" si="5"/>
        <v>25.577999999999999</v>
      </c>
      <c r="C180">
        <f>(Vin-Table1[[#This Row],[Vout]])*Table1[[#This Row],[Duty]]/(Frequency*Inductance)</f>
        <v>1.1083799999999997</v>
      </c>
      <c r="D180">
        <f>Irms-Table1[[#This Row],[Ripple Current (A)]]</f>
        <v>10.89162</v>
      </c>
      <c r="E180">
        <f>Irms+Table1[[#This Row],[Ripple Current (A)]]</f>
        <v>13.10838</v>
      </c>
      <c r="F180">
        <f>Table1[[#This Row],[Vout]]*(Table1[[#This Row],[Imin]]+Table1[[#This Row],[Ripple Current (A)]])</f>
        <v>306.93599999999998</v>
      </c>
      <c r="G180" s="1">
        <f>Table1[[#This Row],[Pout]]/Frequency</f>
        <v>5.1155999999999993E-2</v>
      </c>
      <c r="H180" s="1">
        <f>Table1[[#This Row],[Duty]]/Frequency</f>
        <v>1.45E-4</v>
      </c>
      <c r="I180" s="1">
        <f>Table1[[#This Row],[Pout]]/Vin</f>
        <v>10.44</v>
      </c>
      <c r="J180" s="1">
        <f>Vin*Table1[[#This Row],[Idc]]*Table1[[#This Row],[Time On]]</f>
        <v>4.4505719999999999E-2</v>
      </c>
      <c r="K180" s="1">
        <f>Table1[[#This Row],[Energy/Cycle]]-Table1[[#This Row],[Edc]]</f>
        <v>6.6502799999999945E-3</v>
      </c>
      <c r="L180" s="1">
        <f>2*Table1[[#This Row],[E Capacitor]]/(Vin^2-(Vin-V_ripple)^2)</f>
        <v>2.3011349480968858E-4</v>
      </c>
      <c r="M180" s="1">
        <f>Table1[[#This Row],[Energy/Cycle]]-(Table1[[#This Row],[E Capacitor]]+Table1[[#This Row],[Edc]])</f>
        <v>0</v>
      </c>
      <c r="N18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3.9912570945660715</v>
      </c>
    </row>
    <row r="181" spans="1:14" x14ac:dyDescent="0.25">
      <c r="A181">
        <v>0.875</v>
      </c>
      <c r="B181">
        <f t="shared" si="5"/>
        <v>25.724999999999998</v>
      </c>
      <c r="C181">
        <f>(Vin-Table1[[#This Row],[Vout]])*Table1[[#This Row],[Duty]]/(Frequency*Inductance)</f>
        <v>1.0718750000000001</v>
      </c>
      <c r="D181">
        <f>Irms-Table1[[#This Row],[Ripple Current (A)]]</f>
        <v>10.928125</v>
      </c>
      <c r="E181">
        <f>Irms+Table1[[#This Row],[Ripple Current (A)]]</f>
        <v>13.071875</v>
      </c>
      <c r="F181">
        <f>Table1[[#This Row],[Vout]]*(Table1[[#This Row],[Imin]]+Table1[[#This Row],[Ripple Current (A)]])</f>
        <v>308.7</v>
      </c>
      <c r="G181" s="1">
        <f>Table1[[#This Row],[Pout]]/Frequency</f>
        <v>5.1449999999999996E-2</v>
      </c>
      <c r="H181" s="1">
        <f>Table1[[#This Row],[Duty]]/Frequency</f>
        <v>1.4583333333333335E-4</v>
      </c>
      <c r="I181" s="1">
        <f>Table1[[#This Row],[Pout]]/Vin</f>
        <v>10.5</v>
      </c>
      <c r="J181" s="1">
        <f>Vin*Table1[[#This Row],[Idc]]*Table1[[#This Row],[Time On]]</f>
        <v>4.5018750000000003E-2</v>
      </c>
      <c r="K181" s="1">
        <f>Table1[[#This Row],[Energy/Cycle]]-Table1[[#This Row],[Edc]]</f>
        <v>6.4312499999999925E-3</v>
      </c>
      <c r="L181" s="1">
        <f>2*Table1[[#This Row],[E Capacitor]]/(Vin^2-(Vin-V_ripple)^2)</f>
        <v>2.2253460207612448E-4</v>
      </c>
      <c r="M181" s="1">
        <f>Table1[[#This Row],[Energy/Cycle]]-(Table1[[#This Row],[E Capacitor]]+Table1[[#This Row],[Edc]])</f>
        <v>0</v>
      </c>
      <c r="N18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3.926181286624792</v>
      </c>
    </row>
    <row r="182" spans="1:14" x14ac:dyDescent="0.25">
      <c r="A182">
        <v>0.88</v>
      </c>
      <c r="B182">
        <f t="shared" si="5"/>
        <v>25.872</v>
      </c>
      <c r="C182">
        <f>(Vin-Table1[[#This Row],[Vout]])*Table1[[#This Row],[Duty]]/(Frequency*Inductance)</f>
        <v>1.0348799999999996</v>
      </c>
      <c r="D182">
        <f>Irms-Table1[[#This Row],[Ripple Current (A)]]</f>
        <v>10.965120000000001</v>
      </c>
      <c r="E182">
        <f>Irms+Table1[[#This Row],[Ripple Current (A)]]</f>
        <v>13.034879999999999</v>
      </c>
      <c r="F182">
        <f>Table1[[#This Row],[Vout]]*(Table1[[#This Row],[Imin]]+Table1[[#This Row],[Ripple Current (A)]])</f>
        <v>310.464</v>
      </c>
      <c r="G182" s="1">
        <f>Table1[[#This Row],[Pout]]/Frequency</f>
        <v>5.1743999999999998E-2</v>
      </c>
      <c r="H182" s="1">
        <f>Table1[[#This Row],[Duty]]/Frequency</f>
        <v>1.4666666666666666E-4</v>
      </c>
      <c r="I182" s="1">
        <f>Table1[[#This Row],[Pout]]/Vin</f>
        <v>10.56</v>
      </c>
      <c r="J182" s="1">
        <f>Vin*Table1[[#This Row],[Idc]]*Table1[[#This Row],[Time On]]</f>
        <v>4.5534720000000001E-2</v>
      </c>
      <c r="K182" s="1">
        <f>Table1[[#This Row],[Energy/Cycle]]-Table1[[#This Row],[Edc]]</f>
        <v>6.2092799999999976E-3</v>
      </c>
      <c r="L182" s="1">
        <f>2*Table1[[#This Row],[E Capacitor]]/(Vin^2-(Vin-V_ripple)^2)</f>
        <v>2.1485397923875441E-4</v>
      </c>
      <c r="M182" s="1">
        <f>Table1[[#This Row],[Energy/Cycle]]-(Table1[[#This Row],[E Capacitor]]+Table1[[#This Row],[Edc]])</f>
        <v>0</v>
      </c>
      <c r="N18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3.8590474031522342</v>
      </c>
    </row>
    <row r="183" spans="1:14" x14ac:dyDescent="0.25">
      <c r="A183">
        <v>0.88500000000000001</v>
      </c>
      <c r="B183">
        <f t="shared" si="5"/>
        <v>26.018999999999998</v>
      </c>
      <c r="C183">
        <f>(Vin-Table1[[#This Row],[Vout]])*Table1[[#This Row],[Duty]]/(Frequency*Inductance)</f>
        <v>0.99739500000000003</v>
      </c>
      <c r="D183">
        <f>Irms-Table1[[#This Row],[Ripple Current (A)]]</f>
        <v>11.002604999999999</v>
      </c>
      <c r="E183">
        <f>Irms+Table1[[#This Row],[Ripple Current (A)]]</f>
        <v>12.997395000000001</v>
      </c>
      <c r="F183">
        <f>Table1[[#This Row],[Vout]]*(Table1[[#This Row],[Imin]]+Table1[[#This Row],[Ripple Current (A)]])</f>
        <v>312.22799999999995</v>
      </c>
      <c r="G183" s="1">
        <f>Table1[[#This Row],[Pout]]/Frequency</f>
        <v>5.2037999999999994E-2</v>
      </c>
      <c r="H183" s="1">
        <f>Table1[[#This Row],[Duty]]/Frequency</f>
        <v>1.4750000000000001E-4</v>
      </c>
      <c r="I183" s="1">
        <f>Table1[[#This Row],[Pout]]/Vin</f>
        <v>10.62</v>
      </c>
      <c r="J183" s="1">
        <f>Vin*Table1[[#This Row],[Idc]]*Table1[[#This Row],[Time On]]</f>
        <v>4.6053629999999998E-2</v>
      </c>
      <c r="K183" s="1">
        <f>Table1[[#This Row],[Energy/Cycle]]-Table1[[#This Row],[Edc]]</f>
        <v>5.9843699999999958E-3</v>
      </c>
      <c r="L183" s="1">
        <f>2*Table1[[#This Row],[E Capacitor]]/(Vin^2-(Vin-V_ripple)^2)</f>
        <v>2.0707162629757787E-4</v>
      </c>
      <c r="M183" s="1">
        <f>Table1[[#This Row],[Energy/Cycle]]-(Table1[[#This Row],[E Capacitor]]+Table1[[#This Row],[Edc]])</f>
        <v>0</v>
      </c>
      <c r="N18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3.7897407494606568</v>
      </c>
    </row>
    <row r="184" spans="1:14" x14ac:dyDescent="0.25">
      <c r="A184">
        <v>0.89</v>
      </c>
      <c r="B184">
        <f t="shared" si="5"/>
        <v>26.166</v>
      </c>
      <c r="C184">
        <f>(Vin-Table1[[#This Row],[Vout]])*Table1[[#This Row],[Duty]]/(Frequency*Inductance)</f>
        <v>0.95941999999999938</v>
      </c>
      <c r="D184">
        <f>Irms-Table1[[#This Row],[Ripple Current (A)]]</f>
        <v>11.04058</v>
      </c>
      <c r="E184">
        <f>Irms+Table1[[#This Row],[Ripple Current (A)]]</f>
        <v>12.95942</v>
      </c>
      <c r="F184">
        <f>Table1[[#This Row],[Vout]]*(Table1[[#This Row],[Imin]]+Table1[[#This Row],[Ripple Current (A)]])</f>
        <v>313.99200000000002</v>
      </c>
      <c r="G184" s="1">
        <f>Table1[[#This Row],[Pout]]/Frequency</f>
        <v>5.2332000000000004E-2</v>
      </c>
      <c r="H184" s="1">
        <f>Table1[[#This Row],[Duty]]/Frequency</f>
        <v>1.4833333333333332E-4</v>
      </c>
      <c r="I184" s="1">
        <f>Table1[[#This Row],[Pout]]/Vin</f>
        <v>10.680000000000001</v>
      </c>
      <c r="J184" s="1">
        <f>Vin*Table1[[#This Row],[Idc]]*Table1[[#This Row],[Time On]]</f>
        <v>4.6575480000000002E-2</v>
      </c>
      <c r="K184" s="1">
        <f>Table1[[#This Row],[Energy/Cycle]]-Table1[[#This Row],[Edc]]</f>
        <v>5.7565200000000011E-3</v>
      </c>
      <c r="L184" s="1">
        <f>2*Table1[[#This Row],[E Capacitor]]/(Vin^2-(Vin-V_ripple)^2)</f>
        <v>1.9918754325259536E-4</v>
      </c>
      <c r="M184" s="1">
        <f>Table1[[#This Row],[Energy/Cycle]]-(Table1[[#This Row],[E Capacitor]]+Table1[[#This Row],[Edc]])</f>
        <v>0</v>
      </c>
      <c r="N18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3.7181342455862634</v>
      </c>
    </row>
    <row r="185" spans="1:14" x14ac:dyDescent="0.25">
      <c r="A185">
        <v>0.89500000000000002</v>
      </c>
      <c r="B185">
        <f t="shared" si="5"/>
        <v>26.312999999999999</v>
      </c>
      <c r="C185">
        <f>(Vin-Table1[[#This Row],[Vout]])*Table1[[#This Row],[Duty]]/(Frequency*Inductance)</f>
        <v>0.92095499999999986</v>
      </c>
      <c r="D185">
        <f>Irms-Table1[[#This Row],[Ripple Current (A)]]</f>
        <v>11.079045000000001</v>
      </c>
      <c r="E185">
        <f>Irms+Table1[[#This Row],[Ripple Current (A)]]</f>
        <v>12.920954999999999</v>
      </c>
      <c r="F185">
        <f>Table1[[#This Row],[Vout]]*(Table1[[#This Row],[Imin]]+Table1[[#This Row],[Ripple Current (A)]])</f>
        <v>315.75599999999997</v>
      </c>
      <c r="G185" s="1">
        <f>Table1[[#This Row],[Pout]]/Frequency</f>
        <v>5.2625999999999992E-2</v>
      </c>
      <c r="H185" s="1">
        <f>Table1[[#This Row],[Duty]]/Frequency</f>
        <v>1.4916666666666667E-4</v>
      </c>
      <c r="I185" s="1">
        <f>Table1[[#This Row],[Pout]]/Vin</f>
        <v>10.74</v>
      </c>
      <c r="J185" s="1">
        <f>Vin*Table1[[#This Row],[Idc]]*Table1[[#This Row],[Time On]]</f>
        <v>4.710027E-2</v>
      </c>
      <c r="K185" s="1">
        <f>Table1[[#This Row],[Energy/Cycle]]-Table1[[#This Row],[Edc]]</f>
        <v>5.5257299999999926E-3</v>
      </c>
      <c r="L185" s="1">
        <f>2*Table1[[#This Row],[E Capacitor]]/(Vin^2-(Vin-V_ripple)^2)</f>
        <v>1.9120173010380614E-4</v>
      </c>
      <c r="M185" s="1">
        <f>Table1[[#This Row],[Energy/Cycle]]-(Table1[[#This Row],[E Capacitor]]+Table1[[#This Row],[Edc]])</f>
        <v>0</v>
      </c>
      <c r="N18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3.6440864648421658</v>
      </c>
    </row>
    <row r="186" spans="1:14" x14ac:dyDescent="0.25">
      <c r="A186">
        <v>0.9</v>
      </c>
      <c r="B186">
        <f t="shared" si="5"/>
        <v>26.46</v>
      </c>
      <c r="C186">
        <f>(Vin-Table1[[#This Row],[Vout]])*Table1[[#This Row],[Duty]]/(Frequency*Inductance)</f>
        <v>0.88199999999999934</v>
      </c>
      <c r="D186">
        <f>Irms-Table1[[#This Row],[Ripple Current (A)]]</f>
        <v>11.118</v>
      </c>
      <c r="E186">
        <f>Irms+Table1[[#This Row],[Ripple Current (A)]]</f>
        <v>12.882</v>
      </c>
      <c r="F186">
        <f>Table1[[#This Row],[Vout]]*(Table1[[#This Row],[Imin]]+Table1[[#This Row],[Ripple Current (A)]])</f>
        <v>317.52</v>
      </c>
      <c r="G186" s="1">
        <f>Table1[[#This Row],[Pout]]/Frequency</f>
        <v>5.2919999999999995E-2</v>
      </c>
      <c r="H186" s="1">
        <f>Table1[[#This Row],[Duty]]/Frequency</f>
        <v>1.5000000000000001E-4</v>
      </c>
      <c r="I186" s="1">
        <f>Table1[[#This Row],[Pout]]/Vin</f>
        <v>10.8</v>
      </c>
      <c r="J186" s="1">
        <f>Vin*Table1[[#This Row],[Idc]]*Table1[[#This Row],[Time On]]</f>
        <v>4.7628000000000004E-2</v>
      </c>
      <c r="K186" s="1">
        <f>Table1[[#This Row],[Energy/Cycle]]-Table1[[#This Row],[Edc]]</f>
        <v>5.2919999999999912E-3</v>
      </c>
      <c r="L186" s="1">
        <f>2*Table1[[#This Row],[E Capacitor]]/(Vin^2-(Vin-V_ripple)^2)</f>
        <v>1.8311418685121092E-4</v>
      </c>
      <c r="M186" s="1">
        <f>Table1[[#This Row],[Energy/Cycle]]-(Table1[[#This Row],[E Capacitor]]+Table1[[#This Row],[Edc]])</f>
        <v>0</v>
      </c>
      <c r="N18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3.567439249657939</v>
      </c>
    </row>
    <row r="187" spans="1:14" x14ac:dyDescent="0.25">
      <c r="A187">
        <v>0.90500000000000003</v>
      </c>
      <c r="B187">
        <f t="shared" si="5"/>
        <v>26.606999999999999</v>
      </c>
      <c r="C187">
        <f>(Vin-Table1[[#This Row],[Vout]])*Table1[[#This Row],[Duty]]/(Frequency*Inductance)</f>
        <v>0.84255499999999983</v>
      </c>
      <c r="D187">
        <f>Irms-Table1[[#This Row],[Ripple Current (A)]]</f>
        <v>11.157445000000001</v>
      </c>
      <c r="E187">
        <f>Irms+Table1[[#This Row],[Ripple Current (A)]]</f>
        <v>12.842554999999999</v>
      </c>
      <c r="F187">
        <f>Table1[[#This Row],[Vout]]*(Table1[[#This Row],[Imin]]+Table1[[#This Row],[Ripple Current (A)]])</f>
        <v>319.28399999999999</v>
      </c>
      <c r="G187" s="1">
        <f>Table1[[#This Row],[Pout]]/Frequency</f>
        <v>5.3213999999999997E-2</v>
      </c>
      <c r="H187" s="1">
        <f>Table1[[#This Row],[Duty]]/Frequency</f>
        <v>1.5083333333333333E-4</v>
      </c>
      <c r="I187" s="1">
        <f>Table1[[#This Row],[Pout]]/Vin</f>
        <v>10.86</v>
      </c>
      <c r="J187" s="1">
        <f>Vin*Table1[[#This Row],[Idc]]*Table1[[#This Row],[Time On]]</f>
        <v>4.8158670000000001E-2</v>
      </c>
      <c r="K187" s="1">
        <f>Table1[[#This Row],[Energy/Cycle]]-Table1[[#This Row],[Edc]]</f>
        <v>5.0553299999999968E-3</v>
      </c>
      <c r="L187" s="1">
        <f>2*Table1[[#This Row],[E Capacitor]]/(Vin^2-(Vin-V_ripple)^2)</f>
        <v>1.7492491349480971E-4</v>
      </c>
      <c r="M187" s="1">
        <f>Table1[[#This Row],[Energy/Cycle]]-(Table1[[#This Row],[E Capacitor]]+Table1[[#This Row],[Edc]])</f>
        <v>0</v>
      </c>
      <c r="N18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3.4880147873414264</v>
      </c>
    </row>
    <row r="188" spans="1:14" x14ac:dyDescent="0.25">
      <c r="A188">
        <v>0.91</v>
      </c>
      <c r="B188">
        <f t="shared" si="5"/>
        <v>26.754000000000001</v>
      </c>
      <c r="C188">
        <f>(Vin-Table1[[#This Row],[Vout]])*Table1[[#This Row],[Duty]]/(Frequency*Inductance)</f>
        <v>0.80261999999999922</v>
      </c>
      <c r="D188">
        <f>Irms-Table1[[#This Row],[Ripple Current (A)]]</f>
        <v>11.197380000000001</v>
      </c>
      <c r="E188">
        <f>Irms+Table1[[#This Row],[Ripple Current (A)]]</f>
        <v>12.802619999999999</v>
      </c>
      <c r="F188">
        <f>Table1[[#This Row],[Vout]]*(Table1[[#This Row],[Imin]]+Table1[[#This Row],[Ripple Current (A)]])</f>
        <v>321.048</v>
      </c>
      <c r="G188" s="1">
        <f>Table1[[#This Row],[Pout]]/Frequency</f>
        <v>5.3508E-2</v>
      </c>
      <c r="H188" s="1">
        <f>Table1[[#This Row],[Duty]]/Frequency</f>
        <v>1.5166666666666668E-4</v>
      </c>
      <c r="I188" s="1">
        <f>Table1[[#This Row],[Pout]]/Vin</f>
        <v>10.92</v>
      </c>
      <c r="J188" s="1">
        <f>Vin*Table1[[#This Row],[Idc]]*Table1[[#This Row],[Time On]]</f>
        <v>4.8692280000000004E-2</v>
      </c>
      <c r="K188" s="1">
        <f>Table1[[#This Row],[Energy/Cycle]]-Table1[[#This Row],[Edc]]</f>
        <v>4.8157199999999956E-3</v>
      </c>
      <c r="L188" s="1">
        <f>2*Table1[[#This Row],[E Capacitor]]/(Vin^2-(Vin-V_ripple)^2)</f>
        <v>1.6663391003460205E-4</v>
      </c>
      <c r="M188" s="1">
        <f>Table1[[#This Row],[Energy/Cycle]]-(Table1[[#This Row],[E Capacitor]]+Table1[[#This Row],[Edc]])</f>
        <v>0</v>
      </c>
      <c r="N18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3.4056119877537423</v>
      </c>
    </row>
    <row r="189" spans="1:14" x14ac:dyDescent="0.25">
      <c r="A189">
        <v>0.91500000000000004</v>
      </c>
      <c r="B189">
        <f t="shared" si="5"/>
        <v>26.901</v>
      </c>
      <c r="C189">
        <f>(Vin-Table1[[#This Row],[Vout]])*Table1[[#This Row],[Duty]]/(Frequency*Inductance)</f>
        <v>0.76219499999999962</v>
      </c>
      <c r="D189">
        <f>Irms-Table1[[#This Row],[Ripple Current (A)]]</f>
        <v>11.237805</v>
      </c>
      <c r="E189">
        <f>Irms+Table1[[#This Row],[Ripple Current (A)]]</f>
        <v>12.762195</v>
      </c>
      <c r="F189">
        <f>Table1[[#This Row],[Vout]]*(Table1[[#This Row],[Imin]]+Table1[[#This Row],[Ripple Current (A)]])</f>
        <v>322.81200000000001</v>
      </c>
      <c r="G189" s="1">
        <f>Table1[[#This Row],[Pout]]/Frequency</f>
        <v>5.3802000000000003E-2</v>
      </c>
      <c r="H189" s="1">
        <f>Table1[[#This Row],[Duty]]/Frequency</f>
        <v>1.5249999999999999E-4</v>
      </c>
      <c r="I189" s="1">
        <f>Table1[[#This Row],[Pout]]/Vin</f>
        <v>10.98</v>
      </c>
      <c r="J189" s="1">
        <f>Vin*Table1[[#This Row],[Idc]]*Table1[[#This Row],[Time On]]</f>
        <v>4.9228830000000001E-2</v>
      </c>
      <c r="K189" s="1">
        <f>Table1[[#This Row],[Energy/Cycle]]-Table1[[#This Row],[Edc]]</f>
        <v>4.5731700000000014E-3</v>
      </c>
      <c r="L189" s="1">
        <f>2*Table1[[#This Row],[E Capacitor]]/(Vin^2-(Vin-V_ripple)^2)</f>
        <v>1.582411764705884E-4</v>
      </c>
      <c r="M189" s="1">
        <f>Table1[[#This Row],[Energy/Cycle]]-(Table1[[#This Row],[E Capacitor]]+Table1[[#This Row],[Edc]])</f>
        <v>0</v>
      </c>
      <c r="N18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3.3200019470630391</v>
      </c>
    </row>
    <row r="190" spans="1:14" x14ac:dyDescent="0.25">
      <c r="A190">
        <v>0.92</v>
      </c>
      <c r="B190">
        <f t="shared" si="5"/>
        <v>27.047999999999998</v>
      </c>
      <c r="C190">
        <f>(Vin-Table1[[#This Row],[Vout]])*Table1[[#This Row],[Duty]]/(Frequency*Inductance)</f>
        <v>0.72128000000000014</v>
      </c>
      <c r="D190">
        <f>Irms-Table1[[#This Row],[Ripple Current (A)]]</f>
        <v>11.27872</v>
      </c>
      <c r="E190">
        <f>Irms+Table1[[#This Row],[Ripple Current (A)]]</f>
        <v>12.72128</v>
      </c>
      <c r="F190">
        <f>Table1[[#This Row],[Vout]]*(Table1[[#This Row],[Imin]]+Table1[[#This Row],[Ripple Current (A)]])</f>
        <v>324.57599999999996</v>
      </c>
      <c r="G190" s="1">
        <f>Table1[[#This Row],[Pout]]/Frequency</f>
        <v>5.4095999999999991E-2</v>
      </c>
      <c r="H190" s="1">
        <f>Table1[[#This Row],[Duty]]/Frequency</f>
        <v>1.5333333333333334E-4</v>
      </c>
      <c r="I190" s="1">
        <f>Table1[[#This Row],[Pout]]/Vin</f>
        <v>11.04</v>
      </c>
      <c r="J190" s="1">
        <f>Vin*Table1[[#This Row],[Idc]]*Table1[[#This Row],[Time On]]</f>
        <v>4.9768319999999998E-2</v>
      </c>
      <c r="K190" s="1">
        <f>Table1[[#This Row],[Energy/Cycle]]-Table1[[#This Row],[Edc]]</f>
        <v>4.3276799999999935E-3</v>
      </c>
      <c r="L190" s="1">
        <f>2*Table1[[#This Row],[E Capacitor]]/(Vin^2-(Vin-V_ripple)^2)</f>
        <v>1.4974671280276806E-4</v>
      </c>
      <c r="M190" s="1">
        <f>Table1[[#This Row],[Energy/Cycle]]-(Table1[[#This Row],[E Capacitor]]+Table1[[#This Row],[Edc]])</f>
        <v>0</v>
      </c>
      <c r="N19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3.2309221980043605</v>
      </c>
    </row>
    <row r="191" spans="1:14" x14ac:dyDescent="0.25">
      <c r="A191">
        <v>0.92500000000000004</v>
      </c>
      <c r="B191">
        <f t="shared" si="5"/>
        <v>27.195</v>
      </c>
      <c r="C191">
        <f>(Vin-Table1[[#This Row],[Vout]])*Table1[[#This Row],[Duty]]/(Frequency*Inductance)</f>
        <v>0.67987499999999956</v>
      </c>
      <c r="D191">
        <f>Irms-Table1[[#This Row],[Ripple Current (A)]]</f>
        <v>11.320125000000001</v>
      </c>
      <c r="E191">
        <f>Irms+Table1[[#This Row],[Ripple Current (A)]]</f>
        <v>12.679874999999999</v>
      </c>
      <c r="F191">
        <f>Table1[[#This Row],[Vout]]*(Table1[[#This Row],[Imin]]+Table1[[#This Row],[Ripple Current (A)]])</f>
        <v>326.34000000000003</v>
      </c>
      <c r="G191" s="1">
        <f>Table1[[#This Row],[Pout]]/Frequency</f>
        <v>5.4390000000000008E-2</v>
      </c>
      <c r="H191" s="1">
        <f>Table1[[#This Row],[Duty]]/Frequency</f>
        <v>1.5416666666666668E-4</v>
      </c>
      <c r="I191" s="1">
        <f>Table1[[#This Row],[Pout]]/Vin</f>
        <v>11.100000000000001</v>
      </c>
      <c r="J191" s="1">
        <f>Vin*Table1[[#This Row],[Idc]]*Table1[[#This Row],[Time On]]</f>
        <v>5.0310750000000008E-2</v>
      </c>
      <c r="K191" s="1">
        <f>Table1[[#This Row],[Energy/Cycle]]-Table1[[#This Row],[Edc]]</f>
        <v>4.0792499999999995E-3</v>
      </c>
      <c r="L191" s="1">
        <f>2*Table1[[#This Row],[E Capacitor]]/(Vin^2-(Vin-V_ripple)^2)</f>
        <v>1.4115051903114197E-4</v>
      </c>
      <c r="M191" s="1">
        <f>Table1[[#This Row],[Energy/Cycle]]-(Table1[[#This Row],[E Capacitor]]+Table1[[#This Row],[Edc]])</f>
        <v>0</v>
      </c>
      <c r="N19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3.1380693234082035</v>
      </c>
    </row>
    <row r="192" spans="1:14" x14ac:dyDescent="0.25">
      <c r="A192">
        <v>0.93</v>
      </c>
      <c r="B192">
        <f t="shared" si="5"/>
        <v>27.341999999999999</v>
      </c>
      <c r="C192">
        <f>(Vin-Table1[[#This Row],[Vout]])*Table1[[#This Row],[Duty]]/(Frequency*Inductance)</f>
        <v>0.63797999999999999</v>
      </c>
      <c r="D192">
        <f>Irms-Table1[[#This Row],[Ripple Current (A)]]</f>
        <v>11.362019999999999</v>
      </c>
      <c r="E192">
        <f>Irms+Table1[[#This Row],[Ripple Current (A)]]</f>
        <v>12.637980000000001</v>
      </c>
      <c r="F192">
        <f>Table1[[#This Row],[Vout]]*(Table1[[#This Row],[Imin]]+Table1[[#This Row],[Ripple Current (A)]])</f>
        <v>328.10399999999998</v>
      </c>
      <c r="G192" s="1">
        <f>Table1[[#This Row],[Pout]]/Frequency</f>
        <v>5.4683999999999996E-2</v>
      </c>
      <c r="H192" s="1">
        <f>Table1[[#This Row],[Duty]]/Frequency</f>
        <v>1.55E-4</v>
      </c>
      <c r="I192" s="1">
        <f>Table1[[#This Row],[Pout]]/Vin</f>
        <v>11.16</v>
      </c>
      <c r="J192" s="1">
        <f>Vin*Table1[[#This Row],[Idc]]*Table1[[#This Row],[Time On]]</f>
        <v>5.0856119999999998E-2</v>
      </c>
      <c r="K192" s="1">
        <f>Table1[[#This Row],[Energy/Cycle]]-Table1[[#This Row],[Edc]]</f>
        <v>3.8278799999999988E-3</v>
      </c>
      <c r="L192" s="1">
        <f>2*Table1[[#This Row],[E Capacitor]]/(Vin^2-(Vin-V_ripple)^2)</f>
        <v>1.3245259515570941E-4</v>
      </c>
      <c r="M192" s="1">
        <f>Table1[[#This Row],[Energy/Cycle]]-(Table1[[#This Row],[E Capacitor]]+Table1[[#This Row],[Edc]])</f>
        <v>0</v>
      </c>
      <c r="N19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3.0410893231005227</v>
      </c>
    </row>
    <row r="193" spans="1:14" x14ac:dyDescent="0.25">
      <c r="A193">
        <v>0.93500000000000005</v>
      </c>
      <c r="B193">
        <f t="shared" si="5"/>
        <v>27.489000000000001</v>
      </c>
      <c r="C193">
        <f>(Vin-Table1[[#This Row],[Vout]])*Table1[[#This Row],[Duty]]/(Frequency*Inductance)</f>
        <v>0.59559499999999932</v>
      </c>
      <c r="D193">
        <f>Irms-Table1[[#This Row],[Ripple Current (A)]]</f>
        <v>11.404405000000001</v>
      </c>
      <c r="E193">
        <f>Irms+Table1[[#This Row],[Ripple Current (A)]]</f>
        <v>12.595594999999999</v>
      </c>
      <c r="F193">
        <f>Table1[[#This Row],[Vout]]*(Table1[[#This Row],[Imin]]+Table1[[#This Row],[Ripple Current (A)]])</f>
        <v>329.86799999999999</v>
      </c>
      <c r="G193" s="1">
        <f>Table1[[#This Row],[Pout]]/Frequency</f>
        <v>5.4977999999999999E-2</v>
      </c>
      <c r="H193" s="1">
        <f>Table1[[#This Row],[Duty]]/Frequency</f>
        <v>1.5583333333333334E-4</v>
      </c>
      <c r="I193" s="1">
        <f>Table1[[#This Row],[Pout]]/Vin</f>
        <v>11.22</v>
      </c>
      <c r="J193" s="1">
        <f>Vin*Table1[[#This Row],[Idc]]*Table1[[#This Row],[Time On]]</f>
        <v>5.1404430000000001E-2</v>
      </c>
      <c r="K193" s="1">
        <f>Table1[[#This Row],[Energy/Cycle]]-Table1[[#This Row],[Edc]]</f>
        <v>3.5735699999999981E-3</v>
      </c>
      <c r="L193" s="1">
        <f>2*Table1[[#This Row],[E Capacitor]]/(Vin^2-(Vin-V_ripple)^2)</f>
        <v>1.2365294117647061E-4</v>
      </c>
      <c r="M193" s="1">
        <f>Table1[[#This Row],[Energy/Cycle]]-(Table1[[#This Row],[E Capacitor]]+Table1[[#This Row],[Edc]])</f>
        <v>0</v>
      </c>
      <c r="N19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2.9395648355517188</v>
      </c>
    </row>
    <row r="194" spans="1:14" x14ac:dyDescent="0.25">
      <c r="A194">
        <v>0.94</v>
      </c>
      <c r="B194">
        <f t="shared" si="5"/>
        <v>27.635999999999996</v>
      </c>
      <c r="C194">
        <f>(Vin-Table1[[#This Row],[Vout]])*Table1[[#This Row],[Duty]]/(Frequency*Inductance)</f>
        <v>0.55272000000000088</v>
      </c>
      <c r="D194">
        <f>Irms-Table1[[#This Row],[Ripple Current (A)]]</f>
        <v>11.447279999999999</v>
      </c>
      <c r="E194">
        <f>Irms+Table1[[#This Row],[Ripple Current (A)]]</f>
        <v>12.552720000000001</v>
      </c>
      <c r="F194">
        <f>Table1[[#This Row],[Vout]]*(Table1[[#This Row],[Imin]]+Table1[[#This Row],[Ripple Current (A)]])</f>
        <v>331.63199999999995</v>
      </c>
      <c r="G194" s="1">
        <f>Table1[[#This Row],[Pout]]/Frequency</f>
        <v>5.5271999999999995E-2</v>
      </c>
      <c r="H194" s="1">
        <f>Table1[[#This Row],[Duty]]/Frequency</f>
        <v>1.5666666666666666E-4</v>
      </c>
      <c r="I194" s="1">
        <f>Table1[[#This Row],[Pout]]/Vin</f>
        <v>11.28</v>
      </c>
      <c r="J194" s="1">
        <f>Vin*Table1[[#This Row],[Idc]]*Table1[[#This Row],[Time On]]</f>
        <v>5.195567999999999E-2</v>
      </c>
      <c r="K194" s="1">
        <f>Table1[[#This Row],[Energy/Cycle]]-Table1[[#This Row],[Edc]]</f>
        <v>3.3163200000000045E-3</v>
      </c>
      <c r="L194" s="1">
        <f>2*Table1[[#This Row],[E Capacitor]]/(Vin^2-(Vin-V_ripple)^2)</f>
        <v>1.1475155709342585E-4</v>
      </c>
      <c r="M194" s="1">
        <f>Table1[[#This Row],[Energy/Cycle]]-(Table1[[#This Row],[E Capacitor]]+Table1[[#This Row],[Edc]])</f>
        <v>0</v>
      </c>
      <c r="N19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2.8329978565413718</v>
      </c>
    </row>
    <row r="195" spans="1:14" x14ac:dyDescent="0.25">
      <c r="A195">
        <v>0.94499999999999995</v>
      </c>
      <c r="B195">
        <f t="shared" si="5"/>
        <v>27.782999999999998</v>
      </c>
      <c r="C195">
        <f>(Vin-Table1[[#This Row],[Vout]])*Table1[[#This Row],[Duty]]/(Frequency*Inductance)</f>
        <v>0.50935500000000022</v>
      </c>
      <c r="D195">
        <f>Irms-Table1[[#This Row],[Ripple Current (A)]]</f>
        <v>11.490645000000001</v>
      </c>
      <c r="E195">
        <f>Irms+Table1[[#This Row],[Ripple Current (A)]]</f>
        <v>12.509354999999999</v>
      </c>
      <c r="F195">
        <f>Table1[[#This Row],[Vout]]*(Table1[[#This Row],[Imin]]+Table1[[#This Row],[Ripple Current (A)]])</f>
        <v>333.39599999999996</v>
      </c>
      <c r="G195" s="1">
        <f>Table1[[#This Row],[Pout]]/Frequency</f>
        <v>5.556599999999999E-2</v>
      </c>
      <c r="H195" s="1">
        <f>Table1[[#This Row],[Duty]]/Frequency</f>
        <v>1.5749999999999998E-4</v>
      </c>
      <c r="I195" s="1">
        <f>Table1[[#This Row],[Pout]]/Vin</f>
        <v>11.34</v>
      </c>
      <c r="J195" s="1">
        <f>Vin*Table1[[#This Row],[Idc]]*Table1[[#This Row],[Time On]]</f>
        <v>5.2509869999999986E-2</v>
      </c>
      <c r="K195" s="1">
        <f>Table1[[#This Row],[Energy/Cycle]]-Table1[[#This Row],[Edc]]</f>
        <v>3.0561300000000041E-3</v>
      </c>
      <c r="L195" s="1">
        <f>2*Table1[[#This Row],[E Capacitor]]/(Vin^2-(Vin-V_ripple)^2)</f>
        <v>1.0574844290657462E-4</v>
      </c>
      <c r="M195" s="1">
        <f>Table1[[#This Row],[Energy/Cycle]]-(Table1[[#This Row],[E Capacitor]]+Table1[[#This Row],[Edc]])</f>
        <v>0</v>
      </c>
      <c r="N19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2.7207858437319414</v>
      </c>
    </row>
    <row r="196" spans="1:14" x14ac:dyDescent="0.25">
      <c r="A196">
        <v>0.95</v>
      </c>
      <c r="B196">
        <f t="shared" si="5"/>
        <v>27.929999999999996</v>
      </c>
      <c r="C196">
        <f>(Vin-Table1[[#This Row],[Vout]])*Table1[[#This Row],[Duty]]/(Frequency*Inductance)</f>
        <v>0.46550000000000075</v>
      </c>
      <c r="D196">
        <f>Irms-Table1[[#This Row],[Ripple Current (A)]]</f>
        <v>11.5345</v>
      </c>
      <c r="E196">
        <f>Irms+Table1[[#This Row],[Ripple Current (A)]]</f>
        <v>12.4655</v>
      </c>
      <c r="F196">
        <f>Table1[[#This Row],[Vout]]*(Table1[[#This Row],[Imin]]+Table1[[#This Row],[Ripple Current (A)]])</f>
        <v>335.15999999999997</v>
      </c>
      <c r="G196" s="1">
        <f>Table1[[#This Row],[Pout]]/Frequency</f>
        <v>5.5859999999999993E-2</v>
      </c>
      <c r="H196" s="1">
        <f>Table1[[#This Row],[Duty]]/Frequency</f>
        <v>1.5833333333333332E-4</v>
      </c>
      <c r="I196" s="1">
        <f>Table1[[#This Row],[Pout]]/Vin</f>
        <v>11.4</v>
      </c>
      <c r="J196" s="1">
        <f>Vin*Table1[[#This Row],[Idc]]*Table1[[#This Row],[Time On]]</f>
        <v>5.3066999999999989E-2</v>
      </c>
      <c r="K196" s="1">
        <f>Table1[[#This Row],[Energy/Cycle]]-Table1[[#This Row],[Edc]]</f>
        <v>2.7930000000000038E-3</v>
      </c>
      <c r="L196" s="1">
        <f>2*Table1[[#This Row],[E Capacitor]]/(Vin^2-(Vin-V_ripple)^2)</f>
        <v>9.664359861591716E-5</v>
      </c>
      <c r="M196" s="1">
        <f>Table1[[#This Row],[Energy/Cycle]]-(Table1[[#This Row],[E Capacitor]]+Table1[[#This Row],[Edc]])</f>
        <v>0</v>
      </c>
      <c r="N19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2.6021878142888419</v>
      </c>
    </row>
    <row r="197" spans="1:14" x14ac:dyDescent="0.25">
      <c r="A197">
        <v>0.95499999999999996</v>
      </c>
      <c r="B197">
        <f t="shared" si="5"/>
        <v>28.076999999999998</v>
      </c>
      <c r="C197">
        <f>(Vin-Table1[[#This Row],[Vout]])*Table1[[#This Row],[Duty]]/(Frequency*Inductance)</f>
        <v>0.42115500000000011</v>
      </c>
      <c r="D197">
        <f>Irms-Table1[[#This Row],[Ripple Current (A)]]</f>
        <v>11.578844999999999</v>
      </c>
      <c r="E197">
        <f>Irms+Table1[[#This Row],[Ripple Current (A)]]</f>
        <v>12.421155000000001</v>
      </c>
      <c r="F197">
        <f>Table1[[#This Row],[Vout]]*(Table1[[#This Row],[Imin]]+Table1[[#This Row],[Ripple Current (A)]])</f>
        <v>336.92399999999998</v>
      </c>
      <c r="G197" s="1">
        <f>Table1[[#This Row],[Pout]]/Frequency</f>
        <v>5.6153999999999996E-2</v>
      </c>
      <c r="H197" s="1">
        <f>Table1[[#This Row],[Duty]]/Frequency</f>
        <v>1.5916666666666667E-4</v>
      </c>
      <c r="I197" s="1">
        <f>Table1[[#This Row],[Pout]]/Vin</f>
        <v>11.459999999999999</v>
      </c>
      <c r="J197" s="1">
        <f>Vin*Table1[[#This Row],[Idc]]*Table1[[#This Row],[Time On]]</f>
        <v>5.3627069999999999E-2</v>
      </c>
      <c r="K197" s="1">
        <f>Table1[[#This Row],[Energy/Cycle]]-Table1[[#This Row],[Edc]]</f>
        <v>2.5269299999999967E-3</v>
      </c>
      <c r="L197" s="1">
        <f>2*Table1[[#This Row],[E Capacitor]]/(Vin^2-(Vin-V_ripple)^2)</f>
        <v>8.7437024221453236E-5</v>
      </c>
      <c r="M197" s="1">
        <f>Table1[[#This Row],[Energy/Cycle]]-(Table1[[#This Row],[E Capacitor]]+Table1[[#This Row],[Edc]])</f>
        <v>0</v>
      </c>
      <c r="N19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2.4762747683436466</v>
      </c>
    </row>
    <row r="198" spans="1:14" x14ac:dyDescent="0.25">
      <c r="A198">
        <v>0.96</v>
      </c>
      <c r="B198">
        <f t="shared" si="5"/>
        <v>28.223999999999997</v>
      </c>
      <c r="C198">
        <f>(Vin-Table1[[#This Row],[Vout]])*Table1[[#This Row],[Duty]]/(Frequency*Inductance)</f>
        <v>0.3763200000000006</v>
      </c>
      <c r="D198">
        <f>Irms-Table1[[#This Row],[Ripple Current (A)]]</f>
        <v>11.62368</v>
      </c>
      <c r="E198">
        <f>Irms+Table1[[#This Row],[Ripple Current (A)]]</f>
        <v>12.37632</v>
      </c>
      <c r="F198">
        <f>Table1[[#This Row],[Vout]]*(Table1[[#This Row],[Imin]]+Table1[[#This Row],[Ripple Current (A)]])</f>
        <v>338.68799999999999</v>
      </c>
      <c r="G198" s="1">
        <f>Table1[[#This Row],[Pout]]/Frequency</f>
        <v>5.6447999999999998E-2</v>
      </c>
      <c r="H198" s="1">
        <f>Table1[[#This Row],[Duty]]/Frequency</f>
        <v>1.5999999999999999E-4</v>
      </c>
      <c r="I198" s="1">
        <f>Table1[[#This Row],[Pout]]/Vin</f>
        <v>11.52</v>
      </c>
      <c r="J198" s="1">
        <f>Vin*Table1[[#This Row],[Idc]]*Table1[[#This Row],[Time On]]</f>
        <v>5.4190079999999995E-2</v>
      </c>
      <c r="K198" s="1">
        <f>Table1[[#This Row],[Energy/Cycle]]-Table1[[#This Row],[Edc]]</f>
        <v>2.2579200000000035E-3</v>
      </c>
      <c r="L198" s="1">
        <f>2*Table1[[#This Row],[E Capacitor]]/(Vin^2-(Vin-V_ripple)^2)</f>
        <v>7.8128719723183579E-5</v>
      </c>
      <c r="M198" s="1">
        <f>Table1[[#This Row],[Energy/Cycle]]-(Table1[[#This Row],[E Capacitor]]+Table1[[#This Row],[Edc]])</f>
        <v>0</v>
      </c>
      <c r="N19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2.3418545305872449</v>
      </c>
    </row>
    <row r="199" spans="1:14" x14ac:dyDescent="0.25">
      <c r="A199">
        <v>0.96499999999999997</v>
      </c>
      <c r="B199">
        <f t="shared" ref="B199:B206" si="6">A199*Vin</f>
        <v>28.370999999999999</v>
      </c>
      <c r="C199">
        <f>(Vin-Table1[[#This Row],[Vout]])*Table1[[#This Row],[Duty]]/(Frequency*Inductance)</f>
        <v>0.33099499999999998</v>
      </c>
      <c r="D199">
        <f>Irms-Table1[[#This Row],[Ripple Current (A)]]</f>
        <v>11.669005</v>
      </c>
      <c r="E199">
        <f>Irms+Table1[[#This Row],[Ripple Current (A)]]</f>
        <v>12.330995</v>
      </c>
      <c r="F199">
        <f>Table1[[#This Row],[Vout]]*(Table1[[#This Row],[Imin]]+Table1[[#This Row],[Ripple Current (A)]])</f>
        <v>340.452</v>
      </c>
      <c r="G199" s="1">
        <f>Table1[[#This Row],[Pout]]/Frequency</f>
        <v>5.6742000000000001E-2</v>
      </c>
      <c r="H199" s="1">
        <f>Table1[[#This Row],[Duty]]/Frequency</f>
        <v>1.6083333333333333E-4</v>
      </c>
      <c r="I199" s="1">
        <f>Table1[[#This Row],[Pout]]/Vin</f>
        <v>11.58</v>
      </c>
      <c r="J199" s="1">
        <f>Vin*Table1[[#This Row],[Idc]]*Table1[[#This Row],[Time On]]</f>
        <v>5.4756029999999997E-2</v>
      </c>
      <c r="K199" s="1">
        <f>Table1[[#This Row],[Energy/Cycle]]-Table1[[#This Row],[Edc]]</f>
        <v>1.9859700000000036E-3</v>
      </c>
      <c r="L199" s="1">
        <f>2*Table1[[#This Row],[E Capacitor]]/(Vin^2-(Vin-V_ripple)^2)</f>
        <v>6.8718685121107445E-5</v>
      </c>
      <c r="M199" s="1">
        <f>Table1[[#This Row],[Energy/Cycle]]-(Table1[[#This Row],[E Capacitor]]+Table1[[#This Row],[Edc]])</f>
        <v>0</v>
      </c>
      <c r="N19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2.1973527124797152</v>
      </c>
    </row>
    <row r="200" spans="1:14" x14ac:dyDescent="0.25">
      <c r="A200">
        <v>0.97</v>
      </c>
      <c r="B200">
        <f t="shared" si="6"/>
        <v>28.517999999999997</v>
      </c>
      <c r="C200">
        <f>(Vin-Table1[[#This Row],[Vout]])*Table1[[#This Row],[Duty]]/(Frequency*Inductance)</f>
        <v>0.28518000000000049</v>
      </c>
      <c r="D200">
        <f>Irms-Table1[[#This Row],[Ripple Current (A)]]</f>
        <v>11.71482</v>
      </c>
      <c r="E200">
        <f>Irms+Table1[[#This Row],[Ripple Current (A)]]</f>
        <v>12.28518</v>
      </c>
      <c r="F200">
        <f>Table1[[#This Row],[Vout]]*(Table1[[#This Row],[Imin]]+Table1[[#This Row],[Ripple Current (A)]])</f>
        <v>342.21599999999995</v>
      </c>
      <c r="G200" s="1">
        <f>Table1[[#This Row],[Pout]]/Frequency</f>
        <v>5.7035999999999989E-2</v>
      </c>
      <c r="H200" s="1">
        <f>Table1[[#This Row],[Duty]]/Frequency</f>
        <v>1.6166666666666668E-4</v>
      </c>
      <c r="I200" s="1">
        <f>Table1[[#This Row],[Pout]]/Vin</f>
        <v>11.639999999999999</v>
      </c>
      <c r="J200" s="1">
        <f>Vin*Table1[[#This Row],[Idc]]*Table1[[#This Row],[Time On]]</f>
        <v>5.5324919999999993E-2</v>
      </c>
      <c r="K200" s="1">
        <f>Table1[[#This Row],[Energy/Cycle]]-Table1[[#This Row],[Edc]]</f>
        <v>1.7110799999999968E-3</v>
      </c>
      <c r="L200" s="1">
        <f>2*Table1[[#This Row],[E Capacitor]]/(Vin^2-(Vin-V_ripple)^2)</f>
        <v>5.9206920415224846E-5</v>
      </c>
      <c r="M200" s="1">
        <f>Table1[[#This Row],[Energy/Cycle]]-(Table1[[#This Row],[E Capacitor]]+Table1[[#This Row],[Edc]])</f>
        <v>0</v>
      </c>
      <c r="N20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2.0406136492545581</v>
      </c>
    </row>
    <row r="201" spans="1:14" x14ac:dyDescent="0.25">
      <c r="A201">
        <v>0.97499999999999998</v>
      </c>
      <c r="B201">
        <f t="shared" si="6"/>
        <v>28.664999999999999</v>
      </c>
      <c r="C201">
        <f>(Vin-Table1[[#This Row],[Vout]])*Table1[[#This Row],[Duty]]/(Frequency*Inductance)</f>
        <v>0.23887499999999981</v>
      </c>
      <c r="D201">
        <f>Irms-Table1[[#This Row],[Ripple Current (A)]]</f>
        <v>11.761125</v>
      </c>
      <c r="E201">
        <f>Irms+Table1[[#This Row],[Ripple Current (A)]]</f>
        <v>12.238875</v>
      </c>
      <c r="F201">
        <f>Table1[[#This Row],[Vout]]*(Table1[[#This Row],[Imin]]+Table1[[#This Row],[Ripple Current (A)]])</f>
        <v>343.98</v>
      </c>
      <c r="G201" s="1">
        <f>Table1[[#This Row],[Pout]]/Frequency</f>
        <v>5.7330000000000006E-2</v>
      </c>
      <c r="H201" s="1">
        <f>Table1[[#This Row],[Duty]]/Frequency</f>
        <v>1.6249999999999999E-4</v>
      </c>
      <c r="I201" s="1">
        <f>Table1[[#This Row],[Pout]]/Vin</f>
        <v>11.700000000000001</v>
      </c>
      <c r="J201" s="1">
        <f>Vin*Table1[[#This Row],[Idc]]*Table1[[#This Row],[Time On]]</f>
        <v>5.5896750000000002E-2</v>
      </c>
      <c r="K201" s="1">
        <f>Table1[[#This Row],[Energy/Cycle]]-Table1[[#This Row],[Edc]]</f>
        <v>1.433250000000004E-3</v>
      </c>
      <c r="L201" s="1">
        <f>2*Table1[[#This Row],[E Capacitor]]/(Vin^2-(Vin-V_ripple)^2)</f>
        <v>4.9593425605536509E-5</v>
      </c>
      <c r="M201" s="1">
        <f>Table1[[#This Row],[Energy/Cycle]]-(Table1[[#This Row],[E Capacitor]]+Table1[[#This Row],[Edc]])</f>
        <v>0</v>
      </c>
      <c r="N20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1.8685435741967265</v>
      </c>
    </row>
    <row r="202" spans="1:14" x14ac:dyDescent="0.25">
      <c r="A202">
        <v>0.98</v>
      </c>
      <c r="B202">
        <f t="shared" si="6"/>
        <v>28.811999999999998</v>
      </c>
      <c r="C202">
        <f>(Vin-Table1[[#This Row],[Vout]])*Table1[[#This Row],[Duty]]/(Frequency*Inductance)</f>
        <v>0.19208000000000033</v>
      </c>
      <c r="D202">
        <f>Irms-Table1[[#This Row],[Ripple Current (A)]]</f>
        <v>11.807919999999999</v>
      </c>
      <c r="E202">
        <f>Irms+Table1[[#This Row],[Ripple Current (A)]]</f>
        <v>12.192080000000001</v>
      </c>
      <c r="F202">
        <f>Table1[[#This Row],[Vout]]*(Table1[[#This Row],[Imin]]+Table1[[#This Row],[Ripple Current (A)]])</f>
        <v>345.74399999999997</v>
      </c>
      <c r="G202" s="1">
        <f>Table1[[#This Row],[Pout]]/Frequency</f>
        <v>5.7623999999999995E-2</v>
      </c>
      <c r="H202" s="1">
        <f>Table1[[#This Row],[Duty]]/Frequency</f>
        <v>1.6333333333333334E-4</v>
      </c>
      <c r="I202" s="1">
        <f>Table1[[#This Row],[Pout]]/Vin</f>
        <v>11.76</v>
      </c>
      <c r="J202" s="1">
        <f>Vin*Table1[[#This Row],[Idc]]*Table1[[#This Row],[Time On]]</f>
        <v>5.6471519999999997E-2</v>
      </c>
      <c r="K202" s="1">
        <f>Table1[[#This Row],[Energy/Cycle]]-Table1[[#This Row],[Edc]]</f>
        <v>1.1524799999999974E-3</v>
      </c>
      <c r="L202" s="1">
        <f>2*Table1[[#This Row],[E Capacitor]]/(Vin^2-(Vin-V_ripple)^2)</f>
        <v>3.9878200692041463E-5</v>
      </c>
      <c r="M202" s="1">
        <f>Table1[[#This Row],[Energy/Cycle]]-(Table1[[#This Row],[E Capacitor]]+Table1[[#This Row],[Edc]])</f>
        <v>0</v>
      </c>
      <c r="N20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1.6764091752043517</v>
      </c>
    </row>
    <row r="203" spans="1:14" x14ac:dyDescent="0.25">
      <c r="A203">
        <v>0.98499999999999999</v>
      </c>
      <c r="B203">
        <f t="shared" si="6"/>
        <v>28.959</v>
      </c>
      <c r="C203">
        <f>(Vin-Table1[[#This Row],[Vout]])*Table1[[#This Row],[Duty]]/(Frequency*Inductance)</f>
        <v>0.14479499999999965</v>
      </c>
      <c r="D203">
        <f>Irms-Table1[[#This Row],[Ripple Current (A)]]</f>
        <v>11.855205</v>
      </c>
      <c r="E203">
        <f>Irms+Table1[[#This Row],[Ripple Current (A)]]</f>
        <v>12.144795</v>
      </c>
      <c r="F203">
        <f>Table1[[#This Row],[Vout]]*(Table1[[#This Row],[Imin]]+Table1[[#This Row],[Ripple Current (A)]])</f>
        <v>347.50799999999998</v>
      </c>
      <c r="G203" s="1">
        <f>Table1[[#This Row],[Pout]]/Frequency</f>
        <v>5.7917999999999997E-2</v>
      </c>
      <c r="H203" s="1">
        <f>Table1[[#This Row],[Duty]]/Frequency</f>
        <v>1.6416666666666665E-4</v>
      </c>
      <c r="I203" s="1">
        <f>Table1[[#This Row],[Pout]]/Vin</f>
        <v>11.82</v>
      </c>
      <c r="J203" s="1">
        <f>Vin*Table1[[#This Row],[Idc]]*Table1[[#This Row],[Time On]]</f>
        <v>5.7049229999999992E-2</v>
      </c>
      <c r="K203" s="1">
        <f>Table1[[#This Row],[Energy/Cycle]]-Table1[[#This Row],[Edc]]</f>
        <v>8.6877000000000482E-4</v>
      </c>
      <c r="L203" s="1">
        <f>2*Table1[[#This Row],[E Capacitor]]/(Vin^2-(Vin-V_ripple)^2)</f>
        <v>3.0061245674740675E-5</v>
      </c>
      <c r="M203" s="1">
        <f>Table1[[#This Row],[Energy/Cycle]]-(Table1[[#This Row],[E Capacitor]]+Table1[[#This Row],[Edc]])</f>
        <v>0</v>
      </c>
      <c r="N20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1.4562679345797347</v>
      </c>
    </row>
    <row r="204" spans="1:14" x14ac:dyDescent="0.25">
      <c r="A204">
        <v>0.99</v>
      </c>
      <c r="B204">
        <f t="shared" si="6"/>
        <v>29.105999999999998</v>
      </c>
      <c r="C204">
        <f>(Vin-Table1[[#This Row],[Vout]])*Table1[[#This Row],[Duty]]/(Frequency*Inductance)</f>
        <v>9.7020000000000162E-2</v>
      </c>
      <c r="D204">
        <f>Irms-Table1[[#This Row],[Ripple Current (A)]]</f>
        <v>11.902979999999999</v>
      </c>
      <c r="E204">
        <f>Irms+Table1[[#This Row],[Ripple Current (A)]]</f>
        <v>12.097020000000001</v>
      </c>
      <c r="F204">
        <f>Table1[[#This Row],[Vout]]*(Table1[[#This Row],[Imin]]+Table1[[#This Row],[Ripple Current (A)]])</f>
        <v>349.27199999999999</v>
      </c>
      <c r="G204" s="1">
        <f>Table1[[#This Row],[Pout]]/Frequency</f>
        <v>5.8212E-2</v>
      </c>
      <c r="H204" s="1">
        <f>Table1[[#This Row],[Duty]]/Frequency</f>
        <v>1.65E-4</v>
      </c>
      <c r="I204" s="1">
        <f>Table1[[#This Row],[Pout]]/Vin</f>
        <v>11.88</v>
      </c>
      <c r="J204" s="1">
        <f>Vin*Table1[[#This Row],[Idc]]*Table1[[#This Row],[Time On]]</f>
        <v>5.7629880000000001E-2</v>
      </c>
      <c r="K204" s="1">
        <f>Table1[[#This Row],[Energy/Cycle]]-Table1[[#This Row],[Edc]]</f>
        <v>5.8211999999999847E-4</v>
      </c>
      <c r="L204" s="1">
        <f>2*Table1[[#This Row],[E Capacitor]]/(Vin^2-(Vin-V_ripple)^2)</f>
        <v>2.0142560553633182E-5</v>
      </c>
      <c r="M204" s="1">
        <f>Table1[[#This Row],[Energy/Cycle]]-(Table1[[#This Row],[E Capacitor]]+Table1[[#This Row],[Edc]])</f>
        <v>0</v>
      </c>
      <c r="N20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1.1926834238254513</v>
      </c>
    </row>
    <row r="205" spans="1:14" x14ac:dyDescent="0.25">
      <c r="A205">
        <v>0.995</v>
      </c>
      <c r="B205">
        <f t="shared" si="6"/>
        <v>29.253</v>
      </c>
      <c r="C205">
        <f>(Vin-Table1[[#This Row],[Vout]])*Table1[[#This Row],[Duty]]/(Frequency*Inductance)</f>
        <v>4.8754999999999493E-2</v>
      </c>
      <c r="D205">
        <f>Irms-Table1[[#This Row],[Ripple Current (A)]]</f>
        <v>11.951245</v>
      </c>
      <c r="E205">
        <f>Irms+Table1[[#This Row],[Ripple Current (A)]]</f>
        <v>12.048755</v>
      </c>
      <c r="F205">
        <f>Table1[[#This Row],[Vout]]*(Table1[[#This Row],[Imin]]+Table1[[#This Row],[Ripple Current (A)]])</f>
        <v>351.036</v>
      </c>
      <c r="G205" s="1">
        <f>Table1[[#This Row],[Pout]]/Frequency</f>
        <v>5.8506000000000002E-2</v>
      </c>
      <c r="H205" s="1">
        <f>Table1[[#This Row],[Duty]]/Frequency</f>
        <v>1.6583333333333334E-4</v>
      </c>
      <c r="I205" s="1">
        <f>Table1[[#This Row],[Pout]]/Vin</f>
        <v>11.940000000000001</v>
      </c>
      <c r="J205" s="1">
        <f>Vin*Table1[[#This Row],[Idc]]*Table1[[#This Row],[Time On]]</f>
        <v>5.8213470000000003E-2</v>
      </c>
      <c r="K205" s="1">
        <f>Table1[[#This Row],[Energy/Cycle]]-Table1[[#This Row],[Edc]]</f>
        <v>2.9252999999999918E-4</v>
      </c>
      <c r="L205" s="1">
        <f>2*Table1[[#This Row],[E Capacitor]]/(Vin^2-(Vin-V_ripple)^2)</f>
        <v>1.0122145328719703E-5</v>
      </c>
      <c r="M205" s="1">
        <f>Table1[[#This Row],[Energy/Cycle]]-(Table1[[#This Row],[E Capacitor]]+Table1[[#This Row],[Edc]])</f>
        <v>0</v>
      </c>
      <c r="N20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0.84593830256213665</v>
      </c>
    </row>
    <row r="206" spans="1:14" x14ac:dyDescent="0.25">
      <c r="A206">
        <v>1</v>
      </c>
      <c r="B206">
        <f t="shared" si="6"/>
        <v>29.4</v>
      </c>
      <c r="C206">
        <f>(Vin-Table1[[#This Row],[Vout]])*Table1[[#This Row],[Duty]]/(Frequency*Inductance)</f>
        <v>0</v>
      </c>
      <c r="D206">
        <f>Irms-Table1[[#This Row],[Ripple Current (A)]]</f>
        <v>12</v>
      </c>
      <c r="E206">
        <f>Irms+Table1[[#This Row],[Ripple Current (A)]]</f>
        <v>12</v>
      </c>
      <c r="F206">
        <f>Table1[[#This Row],[Vout]]*(Table1[[#This Row],[Imin]]+Table1[[#This Row],[Ripple Current (A)]])</f>
        <v>352.79999999999995</v>
      </c>
      <c r="G206" s="1">
        <f>Table1[[#This Row],[Pout]]/Frequency</f>
        <v>5.8799999999999991E-2</v>
      </c>
      <c r="H206" s="1">
        <f>Table1[[#This Row],[Duty]]/Frequency</f>
        <v>1.6666666666666666E-4</v>
      </c>
      <c r="I206" s="1">
        <f>Table1[[#This Row],[Pout]]/Vin</f>
        <v>11.999999999999998</v>
      </c>
      <c r="J206" s="1">
        <f>Vin*Table1[[#This Row],[Idc]]*Table1[[#This Row],[Time On]]</f>
        <v>5.8799999999999991E-2</v>
      </c>
      <c r="K206" s="1">
        <f>Table1[[#This Row],[Energy/Cycle]]-Table1[[#This Row],[Edc]]</f>
        <v>0</v>
      </c>
      <c r="L206" s="1">
        <f>2*Table1[[#This Row],[E Capacitor]]/(Vin^2-(Vin-V_ripple)^2)</f>
        <v>0</v>
      </c>
      <c r="M206" s="1">
        <f>Table1[[#This Row],[Energy/Cycle]]-(Table1[[#This Row],[E Capacitor]]+Table1[[#This Row],[Edc]])</f>
        <v>0</v>
      </c>
      <c r="N20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1.7763568394002505E-15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C471-37A6-4077-9E8D-9C6B2A3166FA}">
  <dimension ref="A1:D4"/>
  <sheetViews>
    <sheetView zoomScaleNormal="100" workbookViewId="0"/>
  </sheetViews>
  <sheetFormatPr defaultRowHeight="15" x14ac:dyDescent="0.25"/>
  <cols>
    <col min="1" max="1" width="22.28515625" bestFit="1" customWidth="1"/>
  </cols>
  <sheetData>
    <row r="1" spans="1:4" x14ac:dyDescent="0.25">
      <c r="A1" s="2" t="s">
        <v>33</v>
      </c>
    </row>
    <row r="2" spans="1:4" x14ac:dyDescent="0.25">
      <c r="A2" s="2" t="s">
        <v>32</v>
      </c>
    </row>
    <row r="4" spans="1:4" ht="15.75" x14ac:dyDescent="0.25">
      <c r="A4" s="4" t="s">
        <v>30</v>
      </c>
      <c r="C4" t="s">
        <v>31</v>
      </c>
      <c r="D4" t="s">
        <v>29</v>
      </c>
    </row>
  </sheetData>
  <hyperlinks>
    <hyperlink ref="A1" r:id="rId1" xr:uid="{EC5B3406-66BC-4347-B2AA-35C512696B38}"/>
    <hyperlink ref="A2" r:id="rId2" xr:uid="{8BB84F57-68F6-4F7A-B265-A27A6880744F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Sheet1</vt:lpstr>
      <vt:lpstr>Capacitor Input Current</vt:lpstr>
      <vt:lpstr>Frequency</vt:lpstr>
      <vt:lpstr>Inductance</vt:lpstr>
      <vt:lpstr>Irms</vt:lpstr>
      <vt:lpstr>V_ripple</vt:lpstr>
      <vt:lpstr>Vin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farrell</dc:creator>
  <cp:lastModifiedBy>conor farrell</cp:lastModifiedBy>
  <dcterms:created xsi:type="dcterms:W3CDTF">2025-12-07T13:11:06Z</dcterms:created>
  <dcterms:modified xsi:type="dcterms:W3CDTF">2026-01-14T15:57:05Z</dcterms:modified>
</cp:coreProperties>
</file>