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U:\My Documents\MATLAB\Dyno Test 2\"/>
    </mc:Choice>
  </mc:AlternateContent>
  <xr:revisionPtr revIDLastSave="0" documentId="13_ncr:1_{8FD63878-50A0-44AA-9AF0-992B87E364FD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Test structure" sheetId="1" r:id="rId1"/>
    <sheet name="Test Data" sheetId="2" r:id="rId2"/>
    <sheet name="Throttle vs volt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9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C7" i="3"/>
  <c r="C8" i="3"/>
  <c r="C9" i="3"/>
  <c r="C10" i="3"/>
  <c r="C11" i="3"/>
  <c r="C12" i="3"/>
  <c r="C13" i="3"/>
  <c r="C14" i="3"/>
  <c r="C15" i="3"/>
  <c r="C6" i="3"/>
  <c r="C5" i="3"/>
  <c r="A36" i="1"/>
  <c r="A37" i="1"/>
  <c r="C21" i="1"/>
  <c r="C35" i="1" s="1"/>
  <c r="D21" i="1"/>
  <c r="D35" i="1" s="1"/>
  <c r="E21" i="1"/>
  <c r="E35" i="1" s="1"/>
  <c r="F21" i="1"/>
  <c r="F35" i="1" s="1"/>
  <c r="G21" i="1"/>
  <c r="G35" i="1" s="1"/>
  <c r="H21" i="1"/>
  <c r="H35" i="1" s="1"/>
  <c r="I21" i="1"/>
  <c r="I35" i="1" s="1"/>
  <c r="J21" i="1"/>
  <c r="J35" i="1" s="1"/>
  <c r="K21" i="1"/>
  <c r="K35" i="1" s="1"/>
  <c r="L21" i="1"/>
  <c r="L35" i="1" s="1"/>
  <c r="M21" i="1"/>
  <c r="M35" i="1" s="1"/>
  <c r="N21" i="1"/>
  <c r="N35" i="1" s="1"/>
  <c r="O21" i="1"/>
  <c r="O35" i="1" s="1"/>
  <c r="P21" i="1"/>
  <c r="P35" i="1" s="1"/>
  <c r="Q21" i="1"/>
  <c r="Q35" i="1" s="1"/>
  <c r="R21" i="1"/>
  <c r="R35" i="1" s="1"/>
  <c r="S21" i="1"/>
  <c r="S35" i="1" s="1"/>
  <c r="T21" i="1"/>
  <c r="T35" i="1" s="1"/>
  <c r="U21" i="1"/>
  <c r="U35" i="1" s="1"/>
  <c r="B21" i="1"/>
  <c r="A28" i="1" s="1"/>
  <c r="A42" i="1" s="1"/>
  <c r="A24" i="1" l="1"/>
  <c r="A38" i="1" s="1"/>
  <c r="A23" i="1"/>
  <c r="A22" i="1"/>
  <c r="A29" i="1"/>
  <c r="A43" i="1" s="1"/>
  <c r="A27" i="1"/>
  <c r="A41" i="1" s="1"/>
  <c r="A26" i="1"/>
  <c r="A40" i="1" s="1"/>
  <c r="A25" i="1"/>
  <c r="A39" i="1" s="1"/>
  <c r="B35" i="1"/>
</calcChain>
</file>

<file path=xl/sharedStrings.xml><?xml version="1.0" encoding="utf-8"?>
<sst xmlns="http://schemas.openxmlformats.org/spreadsheetml/2006/main" count="93" uniqueCount="48">
  <si>
    <t>Current [A]</t>
  </si>
  <si>
    <t>Voltage [V]</t>
  </si>
  <si>
    <t>Motor Torque [mNm]</t>
  </si>
  <si>
    <t>kn</t>
  </si>
  <si>
    <t>km</t>
  </si>
  <si>
    <t>R</t>
  </si>
  <si>
    <t>No LoadMotor Speed [rpm]</t>
  </si>
  <si>
    <t>Above Motor Nominal Current / Torque!</t>
  </si>
  <si>
    <t>No Load Speed [rpm]</t>
  </si>
  <si>
    <t>G</t>
  </si>
  <si>
    <t>Dyno Torque [Nm]</t>
  </si>
  <si>
    <t>Run</t>
  </si>
  <si>
    <t>Throttle %</t>
  </si>
  <si>
    <t>Tacho speed</t>
  </si>
  <si>
    <t>End</t>
  </si>
  <si>
    <t>Torque [Nm]</t>
  </si>
  <si>
    <t xml:space="preserve">Arduino Count start </t>
  </si>
  <si>
    <t>File</t>
  </si>
  <si>
    <t>ILTESTr044.txt</t>
  </si>
  <si>
    <t>Line start accel</t>
  </si>
  <si>
    <t>Line Finish accel</t>
  </si>
  <si>
    <t>Line start ss</t>
  </si>
  <si>
    <t>Line Finish ss</t>
  </si>
  <si>
    <t>ILTESTr043.txt</t>
  </si>
  <si>
    <t>ILTESTr042.txt</t>
  </si>
  <si>
    <t>ILTESTr041.txt</t>
  </si>
  <si>
    <t>ILTESTr040.txt</t>
  </si>
  <si>
    <t>ILTESTr039.txt</t>
  </si>
  <si>
    <t>ILTESTr038.txt</t>
  </si>
  <si>
    <t>ILTESTr037.txt</t>
  </si>
  <si>
    <t>ILTESTr036.txt</t>
  </si>
  <si>
    <t>ILTESTr034.txt</t>
  </si>
  <si>
    <t>ILTESTr033.txt</t>
  </si>
  <si>
    <t>ILTESTr031.txt</t>
  </si>
  <si>
    <t>ILTESTr029.txt</t>
  </si>
  <si>
    <t>ILTESTr028.txt</t>
  </si>
  <si>
    <t>ILTESTr027.txt</t>
  </si>
  <si>
    <t>ILTESTr026.txt</t>
  </si>
  <si>
    <t>ILTESTr025.txt</t>
  </si>
  <si>
    <t>ILTESTr024.txt</t>
  </si>
  <si>
    <t>ILTESTr023.txt</t>
  </si>
  <si>
    <t>ILTESTr022.txt</t>
  </si>
  <si>
    <t>ILTESTr021.txt</t>
  </si>
  <si>
    <t>ILTESTr020.txt</t>
  </si>
  <si>
    <t>ILTESTr019.txt</t>
  </si>
  <si>
    <t>ILTESTr018.txt</t>
  </si>
  <si>
    <t>ILTESTr017.txt</t>
  </si>
  <si>
    <t>ILTESTr016.txt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</si>
</sst>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2" borderId="6" xfId="0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2" borderId="8" xfId="0" applyFill="1" applyBorder="1"/>
    <xf numFmtId="0" fontId="0" fillId="2" borderId="9" xfId="0" applyFill="1" applyBorder="1"/>
    <xf numFmtId="0" fontId="1" fillId="0" borderId="2" xfId="0" applyFont="1" applyBorder="1"/>
    <xf numFmtId="0" fontId="0" fillId="2" borderId="3" xfId="0" applyFill="1" applyBorder="1"/>
    <xf numFmtId="0" fontId="0" fillId="2" borderId="4" xfId="0" applyFill="1" applyBorder="1"/>
    <xf numFmtId="0" fontId="1" fillId="0" borderId="10" xfId="0" applyFont="1" applyBorder="1"/>
    <xf numFmtId="0" fontId="0" fillId="0" borderId="11" xfId="0" applyBorder="1"/>
    <xf numFmtId="0" fontId="0" fillId="2" borderId="11" xfId="0" applyFill="1" applyBorder="1"/>
    <xf numFmtId="0" fontId="0" fillId="2" borderId="12" xfId="0" applyFill="1" applyBorder="1"/>
    <xf numFmtId="0" fontId="0" fillId="0" borderId="13" xfId="0" applyBorder="1"/>
    <xf numFmtId="0" fontId="1" fillId="0" borderId="14" xfId="0" applyFont="1" applyBorder="1"/>
    <xf numFmtId="0" fontId="0" fillId="0" borderId="14" xfId="0" applyBorder="1"/>
    <xf numFmtId="0" fontId="0" fillId="0" borderId="15" xfId="0" applyBorder="1"/>
    <xf numFmtId="0" fontId="2" fillId="0" borderId="0" xfId="0" applyFont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21" xfId="0" applyBorder="1"/>
    <xf numFmtId="0" fontId="3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43"/>
  <sheetViews>
    <sheetView topLeftCell="A10" zoomScale="93" workbookViewId="0">
      <selection activeCell="M35" sqref="M35"/>
    </sheetView>
  </sheetViews>
  <sheetFormatPr defaultRowHeight="15" x14ac:dyDescent="0.25"/>
  <cols>
    <col min="1" max="1" width="32.42578125" bestFit="1" customWidth="1"/>
    <col min="2" max="2" width="14" bestFit="1" customWidth="1"/>
  </cols>
  <sheetData>
    <row r="2" spans="1:21" x14ac:dyDescent="0.25">
      <c r="B2" t="s">
        <v>3</v>
      </c>
      <c r="C2">
        <v>237.3</v>
      </c>
    </row>
    <row r="3" spans="1:21" x14ac:dyDescent="0.25">
      <c r="B3" t="s">
        <v>4</v>
      </c>
      <c r="C3">
        <v>40.299999999999997</v>
      </c>
    </row>
    <row r="4" spans="1:21" x14ac:dyDescent="0.25">
      <c r="B4" t="s">
        <v>5</v>
      </c>
      <c r="C4">
        <v>0.10299999999999999</v>
      </c>
    </row>
    <row r="5" spans="1:21" ht="21" x14ac:dyDescent="0.35">
      <c r="B5" t="s">
        <v>9</v>
      </c>
      <c r="C5">
        <v>22</v>
      </c>
      <c r="M5" s="25" t="s">
        <v>7</v>
      </c>
    </row>
    <row r="7" spans="1:21" ht="15.75" thickBot="1" x14ac:dyDescent="0.3"/>
    <row r="8" spans="1:21" ht="15.75" thickBot="1" x14ac:dyDescent="0.3">
      <c r="A8" s="21"/>
      <c r="B8" s="22" t="s">
        <v>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4"/>
    </row>
    <row r="9" spans="1:21" x14ac:dyDescent="0.25">
      <c r="A9" s="17" t="s">
        <v>1</v>
      </c>
      <c r="B9" s="18">
        <v>0.88</v>
      </c>
      <c r="C9" s="18">
        <v>1.76</v>
      </c>
      <c r="D9" s="18">
        <v>2.64</v>
      </c>
      <c r="E9" s="18">
        <v>3.52</v>
      </c>
      <c r="F9" s="18">
        <v>4.4000000000000004</v>
      </c>
      <c r="G9" s="18">
        <v>5.28</v>
      </c>
      <c r="H9" s="18">
        <v>6.16</v>
      </c>
      <c r="I9" s="18">
        <v>7.04</v>
      </c>
      <c r="J9" s="18">
        <v>7.92</v>
      </c>
      <c r="K9" s="18">
        <v>8.8000000000000007</v>
      </c>
      <c r="L9" s="18">
        <v>9.68</v>
      </c>
      <c r="M9" s="19">
        <v>10.56</v>
      </c>
      <c r="N9" s="19">
        <v>11.44</v>
      </c>
      <c r="O9" s="19">
        <v>12.32</v>
      </c>
      <c r="P9" s="19">
        <v>13.2</v>
      </c>
      <c r="Q9" s="19">
        <v>14.08</v>
      </c>
      <c r="R9" s="19">
        <v>14.96</v>
      </c>
      <c r="S9" s="19">
        <v>15.84</v>
      </c>
      <c r="T9" s="19">
        <v>16.72</v>
      </c>
      <c r="U9" s="20">
        <v>17.600000000000001</v>
      </c>
    </row>
    <row r="10" spans="1:21" x14ac:dyDescent="0.25">
      <c r="A10" s="2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9">
        <v>15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3"/>
      <c r="P12" s="3"/>
      <c r="Q12" s="3"/>
      <c r="R12" s="3"/>
      <c r="S12" s="3"/>
      <c r="T12" s="3"/>
      <c r="U12" s="8"/>
    </row>
    <row r="13" spans="1:21" x14ac:dyDescent="0.25">
      <c r="A13" s="9">
        <v>20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3"/>
      <c r="O13" s="3"/>
      <c r="P13" s="3"/>
      <c r="Q13" s="3"/>
      <c r="R13" s="3"/>
      <c r="S13" s="3"/>
      <c r="T13" s="3"/>
      <c r="U13" s="8"/>
    </row>
    <row r="14" spans="1:21" x14ac:dyDescent="0.25">
      <c r="A14" s="9">
        <v>22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3"/>
      <c r="O14" s="3"/>
      <c r="P14" s="3"/>
      <c r="Q14" s="3"/>
      <c r="R14" s="3"/>
      <c r="S14" s="3"/>
      <c r="T14" s="3"/>
      <c r="U14" s="8"/>
    </row>
    <row r="15" spans="1:21" x14ac:dyDescent="0.25">
      <c r="A15" s="9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  <c r="N15" s="3"/>
      <c r="O15" s="3"/>
      <c r="P15" s="3"/>
      <c r="Q15" s="3"/>
      <c r="R15" s="3"/>
      <c r="S15" s="3"/>
      <c r="T15" s="3"/>
      <c r="U15" s="8"/>
    </row>
    <row r="16" spans="1:21" x14ac:dyDescent="0.25">
      <c r="A16" s="9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3"/>
      <c r="O16" s="3"/>
      <c r="P16" s="3"/>
      <c r="Q16" s="3"/>
      <c r="R16" s="3"/>
      <c r="S16" s="3"/>
      <c r="T16" s="3"/>
      <c r="U16" s="8"/>
    </row>
    <row r="17" spans="1:21" ht="15.75" thickBot="1" x14ac:dyDescent="0.3">
      <c r="A17" s="10">
        <v>28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12"/>
      <c r="O17" s="12"/>
      <c r="P17" s="12"/>
      <c r="Q17" s="12"/>
      <c r="R17" s="12"/>
      <c r="S17" s="12"/>
      <c r="T17" s="12"/>
      <c r="U17" s="13"/>
    </row>
    <row r="20" spans="1:21" ht="15.75" thickBot="1" x14ac:dyDescent="0.3">
      <c r="B20" s="1" t="s">
        <v>2</v>
      </c>
    </row>
    <row r="21" spans="1:21" x14ac:dyDescent="0.25">
      <c r="A21" s="14" t="s">
        <v>6</v>
      </c>
      <c r="B21" s="6">
        <f t="shared" ref="B21:U21" si="0">B9*$C$3</f>
        <v>35.463999999999999</v>
      </c>
      <c r="C21" s="6">
        <f t="shared" si="0"/>
        <v>70.927999999999997</v>
      </c>
      <c r="D21" s="6">
        <f t="shared" si="0"/>
        <v>106.392</v>
      </c>
      <c r="E21" s="6">
        <f t="shared" si="0"/>
        <v>141.85599999999999</v>
      </c>
      <c r="F21" s="6">
        <f t="shared" si="0"/>
        <v>177.32</v>
      </c>
      <c r="G21" s="6">
        <f t="shared" si="0"/>
        <v>212.78399999999999</v>
      </c>
      <c r="H21" s="6">
        <f t="shared" si="0"/>
        <v>248.24799999999999</v>
      </c>
      <c r="I21" s="6">
        <f t="shared" si="0"/>
        <v>283.71199999999999</v>
      </c>
      <c r="J21" s="6">
        <f t="shared" si="0"/>
        <v>319.17599999999999</v>
      </c>
      <c r="K21" s="6">
        <f t="shared" si="0"/>
        <v>354.64</v>
      </c>
      <c r="L21" s="6">
        <f t="shared" si="0"/>
        <v>390.10399999999998</v>
      </c>
      <c r="M21" s="15">
        <f t="shared" si="0"/>
        <v>425.56799999999998</v>
      </c>
      <c r="N21" s="15">
        <f t="shared" si="0"/>
        <v>461.03199999999993</v>
      </c>
      <c r="O21" s="15">
        <f t="shared" si="0"/>
        <v>496.49599999999998</v>
      </c>
      <c r="P21" s="15">
        <f t="shared" si="0"/>
        <v>531.95999999999992</v>
      </c>
      <c r="Q21" s="15">
        <f t="shared" si="0"/>
        <v>567.42399999999998</v>
      </c>
      <c r="R21" s="15">
        <f t="shared" si="0"/>
        <v>602.88800000000003</v>
      </c>
      <c r="S21" s="15">
        <f t="shared" si="0"/>
        <v>638.35199999999998</v>
      </c>
      <c r="T21" s="15">
        <f t="shared" si="0"/>
        <v>673.81599999999992</v>
      </c>
      <c r="U21" s="16">
        <f t="shared" si="0"/>
        <v>709.28</v>
      </c>
    </row>
    <row r="22" spans="1:21" x14ac:dyDescent="0.25">
      <c r="A22" s="9">
        <f>$C$2*A10-(30000/PI())*($C$4/$C$3^2)*$B$21</f>
        <v>1165.0223761163531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  <c r="N22" s="19"/>
      <c r="O22" s="19"/>
      <c r="P22" s="19"/>
      <c r="Q22" s="19"/>
      <c r="R22" s="19"/>
      <c r="S22" s="19"/>
      <c r="T22" s="19"/>
      <c r="U22" s="20"/>
    </row>
    <row r="23" spans="1:21" x14ac:dyDescent="0.25">
      <c r="A23" s="9">
        <f t="shared" ref="A23" si="1">$C$2*A11-(30000/PI())*($C$4/$C$3^2)*$B$21</f>
        <v>2351.5223761163534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/>
      <c r="N23" s="19"/>
      <c r="O23" s="19"/>
      <c r="P23" s="19"/>
      <c r="Q23" s="19"/>
      <c r="R23" s="19"/>
      <c r="S23" s="19"/>
      <c r="T23" s="19"/>
      <c r="U23" s="20"/>
    </row>
    <row r="24" spans="1:21" x14ac:dyDescent="0.25">
      <c r="A24" s="9">
        <f t="shared" ref="A24:A29" si="2">$C$2*A12-(30000/PI())*($C$4/$C$3^2)*$B$21</f>
        <v>3538.0223761163534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  <c r="N24" s="3"/>
      <c r="O24" s="3"/>
      <c r="P24" s="3"/>
      <c r="Q24" s="3"/>
      <c r="R24" s="3"/>
      <c r="S24" s="3"/>
      <c r="T24" s="3"/>
      <c r="U24" s="8"/>
    </row>
    <row r="25" spans="1:21" x14ac:dyDescent="0.25">
      <c r="A25" s="9">
        <f t="shared" si="2"/>
        <v>4724.5223761163534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  <c r="N25" s="3"/>
      <c r="O25" s="3"/>
      <c r="P25" s="3"/>
      <c r="Q25" s="3"/>
      <c r="R25" s="3"/>
      <c r="S25" s="3"/>
      <c r="T25" s="3"/>
      <c r="U25" s="8"/>
    </row>
    <row r="26" spans="1:21" x14ac:dyDescent="0.25">
      <c r="A26" s="9">
        <f t="shared" si="2"/>
        <v>5199.1223761163537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  <c r="N26" s="3"/>
      <c r="O26" s="3"/>
      <c r="P26" s="3"/>
      <c r="Q26" s="3"/>
      <c r="R26" s="3"/>
      <c r="S26" s="3"/>
      <c r="T26" s="3"/>
      <c r="U26" s="8"/>
    </row>
    <row r="27" spans="1:21" x14ac:dyDescent="0.25">
      <c r="A27" s="9">
        <f t="shared" si="2"/>
        <v>5673.7223761163541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  <c r="N27" s="3"/>
      <c r="O27" s="3"/>
      <c r="P27" s="3"/>
      <c r="Q27" s="3"/>
      <c r="R27" s="3"/>
      <c r="S27" s="3"/>
      <c r="T27" s="3"/>
      <c r="U27" s="8"/>
    </row>
    <row r="28" spans="1:21" x14ac:dyDescent="0.25">
      <c r="A28" s="9">
        <f t="shared" si="2"/>
        <v>6148.3223761163536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  <c r="N28" s="3"/>
      <c r="O28" s="3"/>
      <c r="P28" s="3"/>
      <c r="Q28" s="3"/>
      <c r="R28" s="3"/>
      <c r="S28" s="3"/>
      <c r="T28" s="3"/>
      <c r="U28" s="8"/>
    </row>
    <row r="29" spans="1:21" x14ac:dyDescent="0.25">
      <c r="A29" s="9">
        <f t="shared" si="2"/>
        <v>6622.9223761163539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  <c r="N29" s="3"/>
      <c r="O29" s="3"/>
      <c r="P29" s="3"/>
      <c r="Q29" s="3"/>
      <c r="R29" s="3"/>
      <c r="S29" s="3"/>
      <c r="T29" s="3"/>
      <c r="U29" s="8"/>
    </row>
    <row r="30" spans="1:21" ht="15.75" thickBot="1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  <c r="N30" s="12"/>
      <c r="O30" s="12"/>
      <c r="P30" s="12"/>
      <c r="Q30" s="12"/>
      <c r="R30" s="12"/>
      <c r="S30" s="12"/>
      <c r="T30" s="12"/>
      <c r="U30" s="13"/>
    </row>
    <row r="33" spans="1:21" ht="15.75" thickBot="1" x14ac:dyDescent="0.3"/>
    <row r="34" spans="1:21" x14ac:dyDescent="0.25">
      <c r="A34" s="4"/>
      <c r="B34" s="5" t="s">
        <v>10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</row>
    <row r="35" spans="1:21" x14ac:dyDescent="0.25">
      <c r="A35" s="9" t="s">
        <v>8</v>
      </c>
      <c r="B35" s="2">
        <f t="shared" ref="B35:U35" si="3">B21*$C$5/1000</f>
        <v>0.78020800000000001</v>
      </c>
      <c r="C35" s="2">
        <f t="shared" si="3"/>
        <v>1.560416</v>
      </c>
      <c r="D35" s="2">
        <f t="shared" si="3"/>
        <v>2.3406239999999996</v>
      </c>
      <c r="E35" s="2">
        <f t="shared" si="3"/>
        <v>3.1208320000000001</v>
      </c>
      <c r="F35" s="2">
        <f t="shared" si="3"/>
        <v>3.9010400000000001</v>
      </c>
      <c r="G35" s="2">
        <f t="shared" si="3"/>
        <v>4.6812479999999992</v>
      </c>
      <c r="H35" s="2">
        <f t="shared" si="3"/>
        <v>5.4614560000000001</v>
      </c>
      <c r="I35" s="2">
        <f t="shared" si="3"/>
        <v>6.2416640000000001</v>
      </c>
      <c r="J35" s="2">
        <f t="shared" si="3"/>
        <v>7.0218719999999992</v>
      </c>
      <c r="K35" s="2">
        <f t="shared" si="3"/>
        <v>7.8020800000000001</v>
      </c>
      <c r="L35" s="2">
        <f t="shared" si="3"/>
        <v>8.5822880000000001</v>
      </c>
      <c r="M35" s="3">
        <f t="shared" si="3"/>
        <v>9.3624959999999984</v>
      </c>
      <c r="N35" s="3">
        <f t="shared" si="3"/>
        <v>10.142703999999998</v>
      </c>
      <c r="O35" s="3">
        <f t="shared" si="3"/>
        <v>10.922912</v>
      </c>
      <c r="P35" s="3">
        <f t="shared" si="3"/>
        <v>11.703119999999998</v>
      </c>
      <c r="Q35" s="3">
        <f t="shared" si="3"/>
        <v>12.483328</v>
      </c>
      <c r="R35" s="3">
        <f t="shared" si="3"/>
        <v>13.263536</v>
      </c>
      <c r="S35" s="3">
        <f t="shared" si="3"/>
        <v>14.043743999999998</v>
      </c>
      <c r="T35" s="3">
        <f t="shared" si="3"/>
        <v>14.823951999999997</v>
      </c>
      <c r="U35" s="8">
        <f t="shared" si="3"/>
        <v>15.60416</v>
      </c>
    </row>
    <row r="36" spans="1:21" x14ac:dyDescent="0.25">
      <c r="A36" s="9">
        <f t="shared" ref="A36:A37" si="4">A22/$C$5</f>
        <v>52.955562550743323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3"/>
      <c r="O36" s="3"/>
      <c r="P36" s="3"/>
      <c r="Q36" s="3"/>
      <c r="R36" s="3"/>
      <c r="S36" s="3"/>
      <c r="T36" s="3"/>
      <c r="U36" s="8"/>
    </row>
    <row r="37" spans="1:21" x14ac:dyDescent="0.25">
      <c r="A37" s="9">
        <f t="shared" si="4"/>
        <v>106.88738073256151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  <c r="N37" s="3"/>
      <c r="O37" s="3"/>
      <c r="P37" s="3"/>
      <c r="Q37" s="3"/>
      <c r="R37" s="3"/>
      <c r="S37" s="3"/>
      <c r="T37" s="3"/>
      <c r="U37" s="8"/>
    </row>
    <row r="38" spans="1:21" x14ac:dyDescent="0.25">
      <c r="A38" s="9">
        <f t="shared" ref="A38:A43" si="5">A24/$C$5</f>
        <v>160.81919891437971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3"/>
      <c r="O38" s="3"/>
      <c r="P38" s="3"/>
      <c r="Q38" s="3"/>
      <c r="R38" s="3"/>
      <c r="S38" s="3"/>
      <c r="T38" s="3"/>
      <c r="U38" s="8"/>
    </row>
    <row r="39" spans="1:21" x14ac:dyDescent="0.25">
      <c r="A39" s="9">
        <f t="shared" si="5"/>
        <v>214.75101709619787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  <c r="N39" s="3"/>
      <c r="O39" s="3"/>
      <c r="P39" s="3"/>
      <c r="Q39" s="3"/>
      <c r="R39" s="3"/>
      <c r="S39" s="3"/>
      <c r="T39" s="3"/>
      <c r="U39" s="8"/>
    </row>
    <row r="40" spans="1:21" x14ac:dyDescent="0.25">
      <c r="A40" s="9">
        <f t="shared" si="5"/>
        <v>236.32374436892516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  <c r="N40" s="3"/>
      <c r="O40" s="3"/>
      <c r="P40" s="3"/>
      <c r="Q40" s="3"/>
      <c r="R40" s="3"/>
      <c r="S40" s="3"/>
      <c r="T40" s="3"/>
      <c r="U40" s="8"/>
    </row>
    <row r="41" spans="1:21" x14ac:dyDescent="0.25">
      <c r="A41" s="9">
        <f t="shared" si="5"/>
        <v>257.89647164165245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3"/>
      <c r="O41" s="3"/>
      <c r="P41" s="3"/>
      <c r="Q41" s="3"/>
      <c r="R41" s="3"/>
      <c r="S41" s="3"/>
      <c r="T41" s="3"/>
      <c r="U41" s="8"/>
    </row>
    <row r="42" spans="1:21" x14ac:dyDescent="0.25">
      <c r="A42" s="9">
        <f t="shared" si="5"/>
        <v>279.46919891437972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  <c r="N42" s="3"/>
      <c r="O42" s="3"/>
      <c r="P42" s="3"/>
      <c r="Q42" s="3"/>
      <c r="R42" s="3"/>
      <c r="S42" s="3"/>
      <c r="T42" s="3"/>
      <c r="U42" s="8"/>
    </row>
    <row r="43" spans="1:21" ht="15.75" thickBot="1" x14ac:dyDescent="0.3">
      <c r="A43" s="10">
        <f t="shared" si="5"/>
        <v>301.04192618710698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2"/>
      <c r="N43" s="12"/>
      <c r="O43" s="12"/>
      <c r="P43" s="12"/>
      <c r="Q43" s="12"/>
      <c r="R43" s="12"/>
      <c r="S43" s="12"/>
      <c r="T43" s="12"/>
      <c r="U4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E604-3AC4-4D61-88C3-F6A2B683294A}">
  <dimension ref="A1:L72"/>
  <sheetViews>
    <sheetView tabSelected="1" zoomScale="85" zoomScaleNormal="85" workbookViewId="0">
      <selection activeCell="K10" sqref="K10"/>
    </sheetView>
  </sheetViews>
  <sheetFormatPr defaultRowHeight="15" x14ac:dyDescent="0.25"/>
  <cols>
    <col min="1" max="1" width="5.140625" bestFit="1" customWidth="1"/>
    <col min="2" max="2" width="14" customWidth="1"/>
    <col min="3" max="3" width="5.28515625" bestFit="1" customWidth="1"/>
    <col min="4" max="4" width="10.140625" bestFit="1" customWidth="1"/>
    <col min="5" max="5" width="10.85546875" bestFit="1" customWidth="1"/>
    <col min="6" max="6" width="12" bestFit="1" customWidth="1"/>
    <col min="7" max="7" width="12.28515625" bestFit="1" customWidth="1"/>
    <col min="8" max="8" width="9.140625" style="35"/>
    <col min="9" max="9" width="13.28515625" bestFit="1" customWidth="1"/>
    <col min="10" max="10" width="14.42578125" bestFit="1" customWidth="1"/>
    <col min="11" max="11" width="15.42578125" bestFit="1" customWidth="1"/>
    <col min="12" max="12" width="11.42578125" bestFit="1" customWidth="1"/>
    <col min="13" max="13" width="12.5703125" bestFit="1" customWidth="1"/>
  </cols>
  <sheetData>
    <row r="1" spans="1:12" ht="23.25" x14ac:dyDescent="0.35">
      <c r="H1"/>
      <c r="I1" s="34"/>
    </row>
    <row r="2" spans="1:12" ht="15.75" thickBot="1" x14ac:dyDescent="0.3">
      <c r="A2" t="s">
        <v>16</v>
      </c>
      <c r="B2" t="s">
        <v>14</v>
      </c>
      <c r="C2" s="1" t="s">
        <v>11</v>
      </c>
      <c r="D2" s="1" t="s">
        <v>12</v>
      </c>
      <c r="E2" s="1" t="s">
        <v>0</v>
      </c>
      <c r="F2" s="1" t="s">
        <v>13</v>
      </c>
      <c r="G2" s="1" t="s">
        <v>15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17</v>
      </c>
    </row>
    <row r="3" spans="1:12" x14ac:dyDescent="0.25">
      <c r="A3" s="26">
        <v>380</v>
      </c>
      <c r="B3" s="27">
        <v>424</v>
      </c>
      <c r="C3" s="27">
        <v>1</v>
      </c>
      <c r="D3" s="27">
        <v>20</v>
      </c>
      <c r="E3" s="27">
        <v>0.85</v>
      </c>
      <c r="F3" s="27">
        <v>59</v>
      </c>
      <c r="G3" s="28">
        <v>0.56000000000000005</v>
      </c>
      <c r="H3">
        <v>4690</v>
      </c>
      <c r="I3">
        <f t="shared" ref="I3:I47" si="0">J3-1</f>
        <v>4704</v>
      </c>
      <c r="J3">
        <v>4705</v>
      </c>
      <c r="K3">
        <v>4946</v>
      </c>
      <c r="L3" t="s">
        <v>47</v>
      </c>
    </row>
    <row r="4" spans="1:12" x14ac:dyDescent="0.25">
      <c r="A4" s="29">
        <v>631</v>
      </c>
      <c r="B4" s="35">
        <v>651</v>
      </c>
      <c r="C4" s="35">
        <v>2</v>
      </c>
      <c r="D4" s="35">
        <v>20</v>
      </c>
      <c r="E4" s="35"/>
      <c r="F4" s="35">
        <v>59</v>
      </c>
      <c r="G4" s="30">
        <v>0.66</v>
      </c>
      <c r="H4">
        <v>388</v>
      </c>
      <c r="I4">
        <f t="shared" si="0"/>
        <v>401</v>
      </c>
      <c r="J4">
        <v>402</v>
      </c>
      <c r="K4">
        <v>547</v>
      </c>
      <c r="L4" t="s">
        <v>46</v>
      </c>
    </row>
    <row r="5" spans="1:12" x14ac:dyDescent="0.25">
      <c r="A5" s="29">
        <v>690</v>
      </c>
      <c r="B5" s="35">
        <v>719</v>
      </c>
      <c r="C5" s="35">
        <v>3</v>
      </c>
      <c r="D5" s="35">
        <v>20</v>
      </c>
      <c r="E5" s="35">
        <v>1</v>
      </c>
      <c r="F5" s="35">
        <v>57.5</v>
      </c>
      <c r="G5" s="30">
        <v>1.1200000000000001</v>
      </c>
      <c r="H5">
        <v>771</v>
      </c>
      <c r="I5">
        <f t="shared" si="0"/>
        <v>784</v>
      </c>
      <c r="J5">
        <v>785</v>
      </c>
      <c r="K5">
        <v>1004</v>
      </c>
      <c r="L5" t="s">
        <v>46</v>
      </c>
    </row>
    <row r="6" spans="1:12" x14ac:dyDescent="0.25">
      <c r="A6" s="29">
        <v>752</v>
      </c>
      <c r="B6" s="35">
        <v>776</v>
      </c>
      <c r="C6" s="35">
        <v>4</v>
      </c>
      <c r="D6" s="35">
        <v>20</v>
      </c>
      <c r="E6" s="35"/>
      <c r="F6" s="35">
        <v>56.7</v>
      </c>
      <c r="G6" s="30">
        <v>1.41</v>
      </c>
      <c r="H6">
        <v>1232</v>
      </c>
      <c r="I6">
        <f t="shared" si="0"/>
        <v>1245</v>
      </c>
      <c r="J6">
        <v>1246</v>
      </c>
      <c r="K6">
        <v>1401</v>
      </c>
      <c r="L6" t="s">
        <v>46</v>
      </c>
    </row>
    <row r="7" spans="1:12" x14ac:dyDescent="0.25">
      <c r="A7" s="29">
        <v>865</v>
      </c>
      <c r="B7" s="35">
        <v>880</v>
      </c>
      <c r="C7" s="35">
        <v>5</v>
      </c>
      <c r="D7" s="35">
        <v>20</v>
      </c>
      <c r="E7" s="35">
        <v>1.2</v>
      </c>
      <c r="F7" s="35">
        <v>55.4</v>
      </c>
      <c r="G7" s="30">
        <v>1.84</v>
      </c>
      <c r="H7">
        <v>2009</v>
      </c>
      <c r="I7">
        <f t="shared" si="0"/>
        <v>2023</v>
      </c>
      <c r="J7">
        <v>2024</v>
      </c>
      <c r="K7">
        <v>2174</v>
      </c>
      <c r="L7" t="s">
        <v>46</v>
      </c>
    </row>
    <row r="8" spans="1:12" x14ac:dyDescent="0.25">
      <c r="A8" s="29">
        <v>903</v>
      </c>
      <c r="B8" s="35">
        <v>917</v>
      </c>
      <c r="C8" s="35">
        <v>6</v>
      </c>
      <c r="D8" s="35">
        <v>20</v>
      </c>
      <c r="E8" s="35">
        <v>1.3</v>
      </c>
      <c r="F8" s="35">
        <v>54.5</v>
      </c>
      <c r="G8" s="30">
        <v>2.2400000000000002</v>
      </c>
      <c r="H8">
        <v>2268</v>
      </c>
      <c r="I8">
        <f t="shared" si="0"/>
        <v>2283</v>
      </c>
      <c r="J8">
        <v>2284</v>
      </c>
      <c r="K8">
        <v>2402</v>
      </c>
      <c r="L8" t="s">
        <v>46</v>
      </c>
    </row>
    <row r="9" spans="1:12" x14ac:dyDescent="0.25">
      <c r="A9" s="29">
        <v>935</v>
      </c>
      <c r="B9" s="35">
        <v>955</v>
      </c>
      <c r="C9" s="35">
        <v>7</v>
      </c>
      <c r="D9" s="35">
        <v>20</v>
      </c>
      <c r="E9" s="35"/>
      <c r="F9" s="35">
        <v>53.7</v>
      </c>
      <c r="G9" s="30">
        <v>2.5299999999999998</v>
      </c>
      <c r="H9">
        <v>2517</v>
      </c>
      <c r="I9">
        <f t="shared" si="0"/>
        <v>2531</v>
      </c>
      <c r="J9">
        <v>2532</v>
      </c>
      <c r="K9">
        <v>2663</v>
      </c>
      <c r="L9" t="s">
        <v>46</v>
      </c>
    </row>
    <row r="10" spans="1:12" x14ac:dyDescent="0.25">
      <c r="A10" s="29">
        <v>1000</v>
      </c>
      <c r="B10" s="35">
        <v>1020</v>
      </c>
      <c r="C10" s="35">
        <v>8</v>
      </c>
      <c r="D10" s="35">
        <v>20</v>
      </c>
      <c r="E10" s="35">
        <v>1.4</v>
      </c>
      <c r="F10" s="35">
        <v>53</v>
      </c>
      <c r="G10" s="30">
        <v>2.77</v>
      </c>
      <c r="H10">
        <v>176</v>
      </c>
      <c r="I10">
        <f t="shared" si="0"/>
        <v>194</v>
      </c>
      <c r="J10">
        <v>195</v>
      </c>
      <c r="K10">
        <v>287</v>
      </c>
      <c r="L10" t="s">
        <v>45</v>
      </c>
    </row>
    <row r="11" spans="1:12" x14ac:dyDescent="0.25">
      <c r="A11" s="29">
        <v>1060</v>
      </c>
      <c r="B11" s="35">
        <v>1075</v>
      </c>
      <c r="C11" s="35">
        <v>9</v>
      </c>
      <c r="D11" s="35">
        <v>20</v>
      </c>
      <c r="E11" s="35">
        <v>1.4</v>
      </c>
      <c r="F11" s="35">
        <v>52.4</v>
      </c>
      <c r="G11" s="30">
        <v>2.99</v>
      </c>
      <c r="H11">
        <v>578</v>
      </c>
      <c r="I11">
        <f t="shared" si="0"/>
        <v>594</v>
      </c>
      <c r="J11">
        <v>595</v>
      </c>
      <c r="K11">
        <v>676</v>
      </c>
      <c r="L11" t="s">
        <v>45</v>
      </c>
    </row>
    <row r="12" spans="1:12" x14ac:dyDescent="0.25">
      <c r="A12" s="29">
        <v>1150</v>
      </c>
      <c r="B12" s="35">
        <v>1165</v>
      </c>
      <c r="C12" s="35">
        <v>10</v>
      </c>
      <c r="D12" s="35">
        <v>20</v>
      </c>
      <c r="E12" s="35">
        <v>1.6</v>
      </c>
      <c r="F12" s="35">
        <v>51.4</v>
      </c>
      <c r="G12" s="30">
        <v>3.38</v>
      </c>
      <c r="H12">
        <v>1214</v>
      </c>
      <c r="I12">
        <f t="shared" si="0"/>
        <v>1228</v>
      </c>
      <c r="J12">
        <v>1229</v>
      </c>
      <c r="K12">
        <v>1308</v>
      </c>
      <c r="L12" t="s">
        <v>45</v>
      </c>
    </row>
    <row r="13" spans="1:12" x14ac:dyDescent="0.25">
      <c r="A13" s="29">
        <v>1200</v>
      </c>
      <c r="B13" s="35">
        <v>1208</v>
      </c>
      <c r="C13" s="35">
        <v>11</v>
      </c>
      <c r="D13" s="35">
        <v>20</v>
      </c>
      <c r="E13" s="35">
        <v>1.7</v>
      </c>
      <c r="F13" s="35">
        <v>50</v>
      </c>
      <c r="G13" s="30">
        <v>3.99</v>
      </c>
      <c r="H13">
        <v>137</v>
      </c>
      <c r="I13">
        <f t="shared" si="0"/>
        <v>150</v>
      </c>
      <c r="J13">
        <v>151</v>
      </c>
      <c r="K13">
        <v>228</v>
      </c>
      <c r="L13" t="s">
        <v>44</v>
      </c>
    </row>
    <row r="14" spans="1:12" x14ac:dyDescent="0.25">
      <c r="A14" s="29"/>
      <c r="B14" s="35"/>
      <c r="C14" s="35">
        <v>12</v>
      </c>
      <c r="D14" s="35">
        <v>20</v>
      </c>
      <c r="E14" s="35">
        <v>2</v>
      </c>
      <c r="F14" s="35">
        <v>47</v>
      </c>
      <c r="G14" s="30">
        <v>5.2</v>
      </c>
      <c r="H14">
        <v>32</v>
      </c>
      <c r="I14">
        <f t="shared" si="0"/>
        <v>45</v>
      </c>
      <c r="J14">
        <v>46</v>
      </c>
      <c r="K14">
        <v>99</v>
      </c>
      <c r="L14" t="s">
        <v>43</v>
      </c>
    </row>
    <row r="15" spans="1:12" x14ac:dyDescent="0.25">
      <c r="A15" s="29">
        <v>1335</v>
      </c>
      <c r="B15" s="35">
        <v>1350</v>
      </c>
      <c r="C15" s="35">
        <v>13</v>
      </c>
      <c r="D15" s="35">
        <v>20</v>
      </c>
      <c r="E15" s="35">
        <v>2.2000000000000002</v>
      </c>
      <c r="F15" s="35">
        <v>43.7</v>
      </c>
      <c r="G15" s="30">
        <v>6.4</v>
      </c>
      <c r="H15">
        <v>57</v>
      </c>
      <c r="I15">
        <f t="shared" si="0"/>
        <v>71</v>
      </c>
      <c r="J15">
        <v>72</v>
      </c>
      <c r="K15">
        <v>181</v>
      </c>
      <c r="L15" t="s">
        <v>42</v>
      </c>
    </row>
    <row r="16" spans="1:12" ht="15.75" thickBot="1" x14ac:dyDescent="0.3">
      <c r="A16" s="29">
        <v>1391</v>
      </c>
      <c r="B16" s="35"/>
      <c r="C16" s="35">
        <v>14</v>
      </c>
      <c r="D16" s="35">
        <v>20</v>
      </c>
      <c r="E16" s="35">
        <v>2.6</v>
      </c>
      <c r="F16" s="35">
        <v>37.200000000000003</v>
      </c>
      <c r="G16" s="30">
        <v>9</v>
      </c>
      <c r="H16">
        <v>114</v>
      </c>
      <c r="I16">
        <f t="shared" si="0"/>
        <v>126</v>
      </c>
      <c r="J16">
        <v>127</v>
      </c>
      <c r="K16">
        <v>178</v>
      </c>
      <c r="L16" t="s">
        <v>41</v>
      </c>
    </row>
    <row r="17" spans="1:12" x14ac:dyDescent="0.25">
      <c r="A17" s="26">
        <v>1600</v>
      </c>
      <c r="B17" s="27">
        <v>1620</v>
      </c>
      <c r="C17" s="27">
        <v>15</v>
      </c>
      <c r="D17" s="27">
        <v>41</v>
      </c>
      <c r="E17" s="27"/>
      <c r="F17" s="27">
        <v>126.1</v>
      </c>
      <c r="G17" s="28">
        <v>0.49</v>
      </c>
      <c r="H17">
        <v>1605</v>
      </c>
      <c r="I17">
        <f t="shared" si="0"/>
        <v>1633</v>
      </c>
      <c r="J17">
        <v>1634</v>
      </c>
      <c r="K17">
        <v>1678</v>
      </c>
      <c r="L17" t="s">
        <v>41</v>
      </c>
    </row>
    <row r="18" spans="1:12" x14ac:dyDescent="0.25">
      <c r="A18" s="29">
        <v>1675</v>
      </c>
      <c r="B18" s="35">
        <v>1688</v>
      </c>
      <c r="C18" s="35"/>
      <c r="D18" s="35">
        <v>41</v>
      </c>
      <c r="E18" s="35">
        <v>1.7</v>
      </c>
      <c r="F18" s="35">
        <v>126.1</v>
      </c>
      <c r="G18" s="30">
        <v>0.49</v>
      </c>
      <c r="H18">
        <v>2053</v>
      </c>
      <c r="I18">
        <f t="shared" si="0"/>
        <v>2079</v>
      </c>
      <c r="J18">
        <v>2080</v>
      </c>
      <c r="K18">
        <v>2131</v>
      </c>
      <c r="L18" t="s">
        <v>41</v>
      </c>
    </row>
    <row r="19" spans="1:12" x14ac:dyDescent="0.25">
      <c r="A19" s="29">
        <v>1730</v>
      </c>
      <c r="B19" s="35">
        <v>1742</v>
      </c>
      <c r="C19" s="35">
        <v>17</v>
      </c>
      <c r="D19" s="35">
        <v>41</v>
      </c>
      <c r="E19" s="35">
        <v>2.2000000000000002</v>
      </c>
      <c r="F19" s="35">
        <v>122.4</v>
      </c>
      <c r="G19" s="30">
        <v>1.49</v>
      </c>
      <c r="H19">
        <v>2428</v>
      </c>
      <c r="I19">
        <f t="shared" si="0"/>
        <v>2455</v>
      </c>
      <c r="J19">
        <v>2456</v>
      </c>
      <c r="K19">
        <v>2506</v>
      </c>
      <c r="L19" t="s">
        <v>41</v>
      </c>
    </row>
    <row r="20" spans="1:12" x14ac:dyDescent="0.25">
      <c r="A20" s="29">
        <v>1756</v>
      </c>
      <c r="B20" s="35">
        <v>1768</v>
      </c>
      <c r="C20" s="35">
        <v>18</v>
      </c>
      <c r="D20" s="35">
        <v>41</v>
      </c>
      <c r="E20" s="35">
        <v>2.4</v>
      </c>
      <c r="F20" s="35">
        <v>121</v>
      </c>
      <c r="G20" s="30">
        <v>1.91</v>
      </c>
      <c r="H20">
        <v>2613</v>
      </c>
      <c r="I20">
        <f t="shared" si="0"/>
        <v>2644</v>
      </c>
      <c r="J20">
        <v>2645</v>
      </c>
      <c r="K20">
        <v>2685</v>
      </c>
      <c r="L20" t="s">
        <v>41</v>
      </c>
    </row>
    <row r="21" spans="1:12" x14ac:dyDescent="0.25">
      <c r="A21" s="29">
        <v>1788</v>
      </c>
      <c r="B21" s="35">
        <v>1798</v>
      </c>
      <c r="C21" s="35">
        <v>19</v>
      </c>
      <c r="D21" s="35">
        <v>41</v>
      </c>
      <c r="E21" s="35">
        <v>2.5</v>
      </c>
      <c r="F21" s="35">
        <v>119.8</v>
      </c>
      <c r="G21" s="30">
        <v>2.2999999999999998</v>
      </c>
      <c r="H21">
        <v>2797</v>
      </c>
      <c r="I21">
        <f t="shared" si="0"/>
        <v>2823</v>
      </c>
      <c r="J21">
        <v>2824</v>
      </c>
      <c r="K21">
        <v>2873</v>
      </c>
      <c r="L21" t="s">
        <v>41</v>
      </c>
    </row>
    <row r="22" spans="1:12" x14ac:dyDescent="0.25">
      <c r="A22" s="29">
        <v>1820</v>
      </c>
      <c r="B22" s="35">
        <v>1827</v>
      </c>
      <c r="C22" s="35">
        <v>20</v>
      </c>
      <c r="D22" s="35">
        <v>41</v>
      </c>
      <c r="E22" s="35">
        <v>2.8</v>
      </c>
      <c r="F22" s="35">
        <v>118.2</v>
      </c>
      <c r="G22" s="30">
        <v>2.8</v>
      </c>
      <c r="H22">
        <v>3004</v>
      </c>
      <c r="I22">
        <f t="shared" si="0"/>
        <v>3030</v>
      </c>
      <c r="J22">
        <v>3031</v>
      </c>
      <c r="K22">
        <v>3081</v>
      </c>
      <c r="L22" t="s">
        <v>41</v>
      </c>
    </row>
    <row r="23" spans="1:12" x14ac:dyDescent="0.25">
      <c r="A23" s="29">
        <v>1848</v>
      </c>
      <c r="B23" s="35">
        <v>1856</v>
      </c>
      <c r="C23" s="35">
        <v>21</v>
      </c>
      <c r="D23" s="35">
        <v>41</v>
      </c>
      <c r="E23" s="35">
        <v>2.9</v>
      </c>
      <c r="F23" s="35">
        <v>117.3</v>
      </c>
      <c r="G23" s="30">
        <v>3.14</v>
      </c>
      <c r="H23">
        <v>3194</v>
      </c>
      <c r="I23">
        <f t="shared" si="0"/>
        <v>3221</v>
      </c>
      <c r="J23">
        <v>3222</v>
      </c>
      <c r="K23">
        <v>3274</v>
      </c>
      <c r="L23" t="s">
        <v>41</v>
      </c>
    </row>
    <row r="24" spans="1:12" x14ac:dyDescent="0.25">
      <c r="A24" s="29">
        <v>1876</v>
      </c>
      <c r="B24" s="35">
        <v>1890</v>
      </c>
      <c r="C24" s="35">
        <v>22</v>
      </c>
      <c r="D24" s="35">
        <v>41</v>
      </c>
      <c r="E24" s="35"/>
      <c r="F24" s="35">
        <v>115.4</v>
      </c>
      <c r="G24" s="30">
        <v>3.74</v>
      </c>
      <c r="H24">
        <v>3399</v>
      </c>
      <c r="I24">
        <f t="shared" si="0"/>
        <v>3426</v>
      </c>
      <c r="J24">
        <v>3427</v>
      </c>
      <c r="K24">
        <v>3467</v>
      </c>
      <c r="L24" t="s">
        <v>41</v>
      </c>
    </row>
    <row r="25" spans="1:12" x14ac:dyDescent="0.25">
      <c r="A25" s="29">
        <v>1904</v>
      </c>
      <c r="B25" s="35">
        <v>1920</v>
      </c>
      <c r="C25" s="35">
        <v>23</v>
      </c>
      <c r="D25" s="35">
        <v>41</v>
      </c>
      <c r="E25" s="35">
        <v>3</v>
      </c>
      <c r="F25" s="35">
        <v>115.4</v>
      </c>
      <c r="G25" s="30">
        <v>3.73</v>
      </c>
      <c r="H25">
        <v>51</v>
      </c>
      <c r="I25">
        <f t="shared" si="0"/>
        <v>79</v>
      </c>
      <c r="J25">
        <v>80</v>
      </c>
      <c r="K25">
        <v>127</v>
      </c>
      <c r="L25" t="s">
        <v>40</v>
      </c>
    </row>
    <row r="26" spans="1:12" x14ac:dyDescent="0.25">
      <c r="A26" s="29">
        <v>1955</v>
      </c>
      <c r="B26" s="35">
        <v>1965</v>
      </c>
      <c r="C26" s="35">
        <v>24</v>
      </c>
      <c r="D26" s="35">
        <v>41</v>
      </c>
      <c r="E26" s="35">
        <v>3.5</v>
      </c>
      <c r="F26" s="35">
        <v>113.5</v>
      </c>
      <c r="G26" s="30">
        <v>4.43</v>
      </c>
      <c r="H26">
        <v>187</v>
      </c>
      <c r="I26">
        <f t="shared" si="0"/>
        <v>207</v>
      </c>
      <c r="J26">
        <v>208</v>
      </c>
      <c r="K26">
        <v>265</v>
      </c>
      <c r="L26" t="s">
        <v>39</v>
      </c>
    </row>
    <row r="27" spans="1:12" x14ac:dyDescent="0.25">
      <c r="A27" s="29">
        <v>1999</v>
      </c>
      <c r="B27" s="35"/>
      <c r="C27" s="35">
        <v>25</v>
      </c>
      <c r="D27" s="35">
        <v>41</v>
      </c>
      <c r="E27" s="35">
        <v>4.3</v>
      </c>
      <c r="F27" s="35">
        <v>109</v>
      </c>
      <c r="G27" s="30">
        <v>6.03</v>
      </c>
      <c r="H27">
        <v>17</v>
      </c>
      <c r="I27">
        <f t="shared" si="0"/>
        <v>44</v>
      </c>
      <c r="J27">
        <v>45</v>
      </c>
      <c r="K27">
        <v>97</v>
      </c>
      <c r="L27" t="s">
        <v>38</v>
      </c>
    </row>
    <row r="28" spans="1:12" x14ac:dyDescent="0.25">
      <c r="A28" s="29">
        <v>2072</v>
      </c>
      <c r="B28" s="35">
        <v>2083</v>
      </c>
      <c r="C28" s="35">
        <v>26</v>
      </c>
      <c r="D28" s="35">
        <v>41</v>
      </c>
      <c r="E28" s="35">
        <v>5.5</v>
      </c>
      <c r="F28" s="35">
        <v>101.5</v>
      </c>
      <c r="G28" s="30">
        <v>8.8889999999999993</v>
      </c>
      <c r="H28">
        <v>512</v>
      </c>
      <c r="I28">
        <f t="shared" si="0"/>
        <v>539</v>
      </c>
      <c r="J28">
        <v>540</v>
      </c>
      <c r="K28">
        <v>595</v>
      </c>
      <c r="L28" t="s">
        <v>38</v>
      </c>
    </row>
    <row r="29" spans="1:12" ht="15.75" thickBot="1" x14ac:dyDescent="0.3">
      <c r="A29" s="33">
        <v>2162</v>
      </c>
      <c r="B29" s="31"/>
      <c r="C29" s="31">
        <v>27</v>
      </c>
      <c r="D29" s="31">
        <v>41</v>
      </c>
      <c r="E29" s="31">
        <v>6.4</v>
      </c>
      <c r="F29" s="31">
        <v>98</v>
      </c>
      <c r="G29" s="32">
        <v>10.220000000000001</v>
      </c>
      <c r="H29">
        <v>434</v>
      </c>
      <c r="I29">
        <f t="shared" si="0"/>
        <v>459</v>
      </c>
      <c r="J29">
        <v>460</v>
      </c>
      <c r="K29">
        <v>510</v>
      </c>
      <c r="L29" t="s">
        <v>37</v>
      </c>
    </row>
    <row r="30" spans="1:12" x14ac:dyDescent="0.25">
      <c r="A30" s="26">
        <v>2448</v>
      </c>
      <c r="B30" s="27">
        <v>2460</v>
      </c>
      <c r="C30" s="27">
        <v>28</v>
      </c>
      <c r="D30" s="27">
        <v>56</v>
      </c>
      <c r="E30" s="27">
        <v>2.1</v>
      </c>
      <c r="F30" s="27">
        <v>170.5</v>
      </c>
      <c r="G30" s="28">
        <v>0.6</v>
      </c>
      <c r="H30">
        <v>578</v>
      </c>
      <c r="I30">
        <f t="shared" si="0"/>
        <v>615</v>
      </c>
      <c r="J30">
        <v>616</v>
      </c>
      <c r="K30">
        <v>673</v>
      </c>
      <c r="L30" t="s">
        <v>36</v>
      </c>
    </row>
    <row r="31" spans="1:12" x14ac:dyDescent="0.25">
      <c r="A31" s="29">
        <v>2535</v>
      </c>
      <c r="B31" s="35">
        <v>2544</v>
      </c>
      <c r="C31" s="35">
        <v>29</v>
      </c>
      <c r="D31" s="35">
        <v>56</v>
      </c>
      <c r="E31" s="35">
        <v>2.6</v>
      </c>
      <c r="F31" s="35">
        <v>167.9</v>
      </c>
      <c r="G31" s="30">
        <v>1.28</v>
      </c>
      <c r="H31">
        <v>1153</v>
      </c>
      <c r="I31">
        <f t="shared" si="0"/>
        <v>1189</v>
      </c>
      <c r="J31">
        <v>1190</v>
      </c>
      <c r="K31">
        <v>1244</v>
      </c>
      <c r="L31" t="s">
        <v>36</v>
      </c>
    </row>
    <row r="32" spans="1:12" x14ac:dyDescent="0.25">
      <c r="A32" s="29">
        <v>2585</v>
      </c>
      <c r="B32" s="35">
        <v>2595</v>
      </c>
      <c r="C32" s="35">
        <v>30</v>
      </c>
      <c r="D32" s="35">
        <v>56</v>
      </c>
      <c r="E32" s="35">
        <v>2.8</v>
      </c>
      <c r="F32" s="35">
        <v>166.3</v>
      </c>
      <c r="G32" s="30">
        <v>1.7</v>
      </c>
      <c r="H32">
        <v>174</v>
      </c>
      <c r="I32">
        <f t="shared" si="0"/>
        <v>211</v>
      </c>
      <c r="J32">
        <v>212</v>
      </c>
      <c r="K32">
        <v>266</v>
      </c>
      <c r="L32" t="s">
        <v>35</v>
      </c>
    </row>
    <row r="33" spans="1:12" x14ac:dyDescent="0.25">
      <c r="A33" s="29">
        <v>2620</v>
      </c>
      <c r="B33" s="35">
        <v>2630</v>
      </c>
      <c r="C33" s="35">
        <v>31</v>
      </c>
      <c r="D33" s="35">
        <v>56</v>
      </c>
      <c r="E33" s="35"/>
      <c r="F33" s="35">
        <v>163.1</v>
      </c>
      <c r="G33" s="30">
        <v>2.61</v>
      </c>
      <c r="H33">
        <v>398</v>
      </c>
      <c r="I33">
        <f t="shared" si="0"/>
        <v>432</v>
      </c>
      <c r="J33">
        <v>433</v>
      </c>
      <c r="K33">
        <v>490</v>
      </c>
      <c r="L33" t="s">
        <v>35</v>
      </c>
    </row>
    <row r="34" spans="1:12" x14ac:dyDescent="0.25">
      <c r="A34" s="29">
        <v>2655</v>
      </c>
      <c r="B34" s="35">
        <v>2667</v>
      </c>
      <c r="C34" s="35">
        <v>32</v>
      </c>
      <c r="D34" s="35">
        <v>56</v>
      </c>
      <c r="E34" s="35">
        <v>3.8</v>
      </c>
      <c r="F34" s="35">
        <v>161.4</v>
      </c>
      <c r="G34" s="30">
        <v>3.2</v>
      </c>
      <c r="H34">
        <v>79</v>
      </c>
      <c r="I34">
        <f t="shared" si="0"/>
        <v>114</v>
      </c>
      <c r="J34">
        <v>115</v>
      </c>
      <c r="K34">
        <v>156</v>
      </c>
      <c r="L34" t="s">
        <v>34</v>
      </c>
    </row>
    <row r="35" spans="1:12" x14ac:dyDescent="0.25">
      <c r="A35" s="29">
        <v>2700</v>
      </c>
      <c r="B35" s="35">
        <v>2709</v>
      </c>
      <c r="C35" s="35">
        <v>33</v>
      </c>
      <c r="D35" s="35">
        <v>56</v>
      </c>
      <c r="E35" s="35">
        <v>4</v>
      </c>
      <c r="F35" s="35">
        <v>160.5</v>
      </c>
      <c r="G35" s="30">
        <v>3.45</v>
      </c>
      <c r="H35">
        <v>369</v>
      </c>
      <c r="I35">
        <f t="shared" si="0"/>
        <v>406</v>
      </c>
      <c r="J35">
        <v>407</v>
      </c>
      <c r="K35">
        <v>442</v>
      </c>
      <c r="L35" t="s">
        <v>34</v>
      </c>
    </row>
    <row r="36" spans="1:12" x14ac:dyDescent="0.25">
      <c r="A36" s="29">
        <v>2745</v>
      </c>
      <c r="B36" s="35">
        <v>2757</v>
      </c>
      <c r="C36" s="35">
        <v>34</v>
      </c>
      <c r="D36" s="35">
        <v>56</v>
      </c>
      <c r="E36" s="35"/>
      <c r="F36" s="35">
        <v>157.69999999999999</v>
      </c>
      <c r="G36" s="30">
        <v>4.6900000000000004</v>
      </c>
      <c r="H36">
        <v>14</v>
      </c>
      <c r="I36">
        <f t="shared" si="0"/>
        <v>50</v>
      </c>
      <c r="J36">
        <v>51</v>
      </c>
      <c r="K36">
        <v>96</v>
      </c>
      <c r="L36" t="s">
        <v>33</v>
      </c>
    </row>
    <row r="37" spans="1:12" x14ac:dyDescent="0.25">
      <c r="A37" s="29">
        <v>2800</v>
      </c>
      <c r="B37" s="35">
        <v>2807</v>
      </c>
      <c r="C37" s="35">
        <v>35</v>
      </c>
      <c r="D37" s="35">
        <v>56</v>
      </c>
      <c r="E37" s="35">
        <v>5.7</v>
      </c>
      <c r="F37" s="35">
        <v>153.9</v>
      </c>
      <c r="G37" s="30">
        <v>5.85</v>
      </c>
      <c r="H37">
        <v>6</v>
      </c>
      <c r="I37">
        <f t="shared" si="0"/>
        <v>42</v>
      </c>
      <c r="J37">
        <v>43</v>
      </c>
      <c r="K37">
        <v>70</v>
      </c>
      <c r="L37" t="s">
        <v>32</v>
      </c>
    </row>
    <row r="38" spans="1:12" x14ac:dyDescent="0.25">
      <c r="A38" s="29">
        <v>2865</v>
      </c>
      <c r="B38" s="35">
        <v>2875</v>
      </c>
      <c r="C38" s="35">
        <v>36</v>
      </c>
      <c r="D38" s="35">
        <v>56</v>
      </c>
      <c r="E38" s="35">
        <v>6.2</v>
      </c>
      <c r="F38" s="35">
        <v>151.1</v>
      </c>
      <c r="G38" s="30">
        <v>6.45</v>
      </c>
      <c r="H38">
        <v>449</v>
      </c>
      <c r="I38">
        <f t="shared" si="0"/>
        <v>485</v>
      </c>
      <c r="J38">
        <v>486</v>
      </c>
      <c r="K38">
        <v>515</v>
      </c>
      <c r="L38" t="s">
        <v>32</v>
      </c>
    </row>
    <row r="39" spans="1:12" x14ac:dyDescent="0.25">
      <c r="A39" s="29">
        <v>2930</v>
      </c>
      <c r="B39" s="35">
        <v>2940</v>
      </c>
      <c r="C39" s="35">
        <v>37</v>
      </c>
      <c r="D39" s="35">
        <v>56</v>
      </c>
      <c r="E39" s="35">
        <v>7.6</v>
      </c>
      <c r="F39" s="35">
        <v>147.5</v>
      </c>
      <c r="G39" s="30">
        <v>8.48</v>
      </c>
      <c r="H39">
        <v>299</v>
      </c>
      <c r="I39">
        <f t="shared" si="0"/>
        <v>335</v>
      </c>
      <c r="J39">
        <v>336</v>
      </c>
      <c r="K39">
        <v>375</v>
      </c>
      <c r="L39" t="s">
        <v>31</v>
      </c>
    </row>
    <row r="40" spans="1:12" x14ac:dyDescent="0.25">
      <c r="A40" s="29">
        <v>3025</v>
      </c>
      <c r="B40" s="35">
        <v>3033</v>
      </c>
      <c r="C40" s="35">
        <v>38</v>
      </c>
      <c r="D40" s="35">
        <v>56</v>
      </c>
      <c r="E40" s="35">
        <v>8</v>
      </c>
      <c r="F40" s="35">
        <v>142.4</v>
      </c>
      <c r="G40" s="30">
        <v>9.73</v>
      </c>
      <c r="H40">
        <v>918</v>
      </c>
      <c r="I40">
        <f t="shared" si="0"/>
        <v>953</v>
      </c>
      <c r="J40">
        <v>954</v>
      </c>
      <c r="K40">
        <v>1001</v>
      </c>
      <c r="L40" t="s">
        <v>31</v>
      </c>
    </row>
    <row r="41" spans="1:12" x14ac:dyDescent="0.25">
      <c r="A41" s="29">
        <v>3072</v>
      </c>
      <c r="B41" s="35">
        <v>3080</v>
      </c>
      <c r="C41" s="35">
        <v>39</v>
      </c>
      <c r="D41" s="35">
        <v>56</v>
      </c>
      <c r="E41" s="35"/>
      <c r="F41" s="35">
        <v>140.19999999999999</v>
      </c>
      <c r="G41" s="30">
        <v>10.65</v>
      </c>
      <c r="H41">
        <v>1221</v>
      </c>
      <c r="I41">
        <f t="shared" si="0"/>
        <v>1256</v>
      </c>
      <c r="J41">
        <v>1257</v>
      </c>
      <c r="K41">
        <v>1296</v>
      </c>
      <c r="L41" t="s">
        <v>31</v>
      </c>
    </row>
    <row r="42" spans="1:12" x14ac:dyDescent="0.25">
      <c r="A42" s="29">
        <v>3130</v>
      </c>
      <c r="B42" s="35">
        <v>3141</v>
      </c>
      <c r="C42" s="35">
        <v>40</v>
      </c>
      <c r="D42" s="35">
        <v>56</v>
      </c>
      <c r="E42" s="35">
        <v>9.5</v>
      </c>
      <c r="F42" s="35">
        <v>135.69999999999999</v>
      </c>
      <c r="G42" s="30">
        <v>12.08</v>
      </c>
      <c r="H42">
        <v>48</v>
      </c>
      <c r="I42">
        <f t="shared" si="0"/>
        <v>84</v>
      </c>
      <c r="J42">
        <v>85</v>
      </c>
      <c r="K42">
        <v>128</v>
      </c>
      <c r="L42" t="s">
        <v>30</v>
      </c>
    </row>
    <row r="43" spans="1:12" x14ac:dyDescent="0.25">
      <c r="A43" s="29">
        <v>3315</v>
      </c>
      <c r="B43" s="35">
        <v>3322</v>
      </c>
      <c r="C43" s="35">
        <v>41</v>
      </c>
      <c r="D43" s="35">
        <v>56</v>
      </c>
      <c r="E43" s="35">
        <v>10.9</v>
      </c>
      <c r="F43" s="35">
        <v>132.19999999999999</v>
      </c>
      <c r="G43" s="30">
        <v>14.15</v>
      </c>
      <c r="H43">
        <v>177</v>
      </c>
      <c r="I43">
        <f t="shared" si="0"/>
        <v>212</v>
      </c>
      <c r="J43">
        <v>213</v>
      </c>
      <c r="K43">
        <v>249</v>
      </c>
      <c r="L43" t="s">
        <v>29</v>
      </c>
    </row>
    <row r="44" spans="1:12" ht="15.75" thickBot="1" x14ac:dyDescent="0.3">
      <c r="A44" s="33">
        <v>3385</v>
      </c>
      <c r="B44" s="31"/>
      <c r="C44" s="31">
        <v>42</v>
      </c>
      <c r="D44" s="35">
        <v>56</v>
      </c>
      <c r="E44" s="31">
        <v>12</v>
      </c>
      <c r="F44" s="31">
        <v>126.1</v>
      </c>
      <c r="G44" s="32">
        <v>15.95</v>
      </c>
      <c r="H44">
        <v>603</v>
      </c>
      <c r="I44">
        <f t="shared" si="0"/>
        <v>638</v>
      </c>
      <c r="J44">
        <v>639</v>
      </c>
      <c r="K44">
        <v>698</v>
      </c>
      <c r="L44" t="s">
        <v>29</v>
      </c>
    </row>
    <row r="45" spans="1:12" x14ac:dyDescent="0.25">
      <c r="A45" s="26">
        <v>136</v>
      </c>
      <c r="B45" s="27">
        <v>150</v>
      </c>
      <c r="C45" s="35">
        <v>43</v>
      </c>
      <c r="D45" s="27">
        <v>71</v>
      </c>
      <c r="E45" s="27">
        <v>2.4</v>
      </c>
      <c r="F45" s="27">
        <v>216.8</v>
      </c>
      <c r="G45" s="28">
        <v>0.56000000000000005</v>
      </c>
      <c r="H45">
        <v>4294</v>
      </c>
      <c r="I45">
        <f t="shared" si="0"/>
        <v>4337</v>
      </c>
      <c r="J45">
        <v>4338</v>
      </c>
      <c r="K45">
        <v>4377</v>
      </c>
      <c r="L45" t="s">
        <v>29</v>
      </c>
    </row>
    <row r="46" spans="1:12" x14ac:dyDescent="0.25">
      <c r="A46" s="29">
        <v>180</v>
      </c>
      <c r="B46" s="35">
        <v>190</v>
      </c>
      <c r="C46" s="35">
        <v>44</v>
      </c>
      <c r="D46" s="35">
        <v>71</v>
      </c>
      <c r="E46" s="35">
        <v>3.2</v>
      </c>
      <c r="F46" s="35">
        <v>210.9</v>
      </c>
      <c r="G46" s="30">
        <v>1.74</v>
      </c>
      <c r="H46">
        <v>4557</v>
      </c>
      <c r="I46">
        <f t="shared" si="0"/>
        <v>4602</v>
      </c>
      <c r="J46">
        <v>4603</v>
      </c>
      <c r="K46">
        <v>4633</v>
      </c>
      <c r="L46" t="s">
        <v>29</v>
      </c>
    </row>
    <row r="47" spans="1:12" x14ac:dyDescent="0.25">
      <c r="A47" s="29">
        <v>220</v>
      </c>
      <c r="B47" s="35">
        <v>230</v>
      </c>
      <c r="C47" s="35">
        <v>45</v>
      </c>
      <c r="D47" s="35">
        <v>71</v>
      </c>
      <c r="E47" s="35">
        <v>4.3</v>
      </c>
      <c r="F47" s="35">
        <v>206.7</v>
      </c>
      <c r="G47" s="30">
        <v>2.89</v>
      </c>
      <c r="H47">
        <v>4814</v>
      </c>
      <c r="I47">
        <f t="shared" si="0"/>
        <v>4858</v>
      </c>
      <c r="J47">
        <v>4859</v>
      </c>
      <c r="K47">
        <v>4887</v>
      </c>
      <c r="L47" t="s">
        <v>29</v>
      </c>
    </row>
    <row r="48" spans="1:12" x14ac:dyDescent="0.25">
      <c r="A48" s="29">
        <v>255</v>
      </c>
      <c r="B48" s="35">
        <v>265</v>
      </c>
      <c r="C48" s="35">
        <v>46</v>
      </c>
      <c r="D48" s="35">
        <v>71</v>
      </c>
      <c r="E48" s="35">
        <v>5</v>
      </c>
      <c r="F48" s="35">
        <v>204.3</v>
      </c>
      <c r="G48" s="30">
        <v>3.57</v>
      </c>
      <c r="H48">
        <v>5031</v>
      </c>
      <c r="I48">
        <f>J48-1</f>
        <v>5076</v>
      </c>
      <c r="J48">
        <v>5077</v>
      </c>
      <c r="K48">
        <v>5133</v>
      </c>
      <c r="L48" t="s">
        <v>29</v>
      </c>
    </row>
    <row r="49" spans="1:12" x14ac:dyDescent="0.25">
      <c r="A49" s="29">
        <v>325</v>
      </c>
      <c r="B49" s="35">
        <v>335</v>
      </c>
      <c r="C49" s="35">
        <v>47</v>
      </c>
      <c r="D49" s="35">
        <v>71</v>
      </c>
      <c r="E49" s="35">
        <v>7.8</v>
      </c>
      <c r="F49" s="35">
        <v>192.9</v>
      </c>
      <c r="G49" s="30">
        <v>7.2</v>
      </c>
      <c r="H49">
        <v>5470</v>
      </c>
      <c r="I49">
        <f>J49-1</f>
        <v>5511</v>
      </c>
      <c r="J49">
        <v>5512</v>
      </c>
      <c r="K49">
        <v>5557</v>
      </c>
      <c r="L49" t="s">
        <v>29</v>
      </c>
    </row>
    <row r="50" spans="1:12" x14ac:dyDescent="0.25">
      <c r="A50" s="29">
        <v>360</v>
      </c>
      <c r="B50" s="35">
        <v>367</v>
      </c>
      <c r="C50" s="35">
        <v>48</v>
      </c>
      <c r="D50" s="35">
        <v>71</v>
      </c>
      <c r="E50" s="35">
        <v>6.5</v>
      </c>
      <c r="F50" s="35">
        <v>198.6</v>
      </c>
      <c r="G50" s="30">
        <v>5.54</v>
      </c>
      <c r="H50">
        <v>5682</v>
      </c>
      <c r="I50">
        <f>J50-1</f>
        <v>5726</v>
      </c>
      <c r="J50">
        <v>5727</v>
      </c>
      <c r="K50">
        <v>5753</v>
      </c>
      <c r="L50" t="s">
        <v>29</v>
      </c>
    </row>
    <row r="51" spans="1:12" x14ac:dyDescent="0.25">
      <c r="A51" s="29">
        <v>400</v>
      </c>
      <c r="B51" s="35">
        <v>410</v>
      </c>
      <c r="C51" s="35">
        <v>49</v>
      </c>
      <c r="D51" s="35">
        <v>71</v>
      </c>
      <c r="E51" s="35">
        <v>12.6</v>
      </c>
      <c r="F51" s="35">
        <v>175.6</v>
      </c>
      <c r="G51" s="30">
        <v>13.01</v>
      </c>
      <c r="H51">
        <v>36</v>
      </c>
      <c r="I51">
        <f t="shared" ref="I51:I68" si="1">J51-1</f>
        <v>78</v>
      </c>
      <c r="J51">
        <v>79</v>
      </c>
      <c r="K51">
        <v>107</v>
      </c>
      <c r="L51" t="s">
        <v>28</v>
      </c>
    </row>
    <row r="52" spans="1:12" ht="15.75" thickBot="1" x14ac:dyDescent="0.3">
      <c r="A52" s="33">
        <v>591</v>
      </c>
      <c r="B52" s="31">
        <v>598</v>
      </c>
      <c r="C52" s="31">
        <v>50</v>
      </c>
      <c r="D52" s="31">
        <v>71</v>
      </c>
      <c r="E52" s="31">
        <v>16</v>
      </c>
      <c r="F52" s="31">
        <v>163.9</v>
      </c>
      <c r="G52" s="32">
        <v>17.64</v>
      </c>
      <c r="H52">
        <v>858</v>
      </c>
      <c r="I52">
        <f t="shared" si="1"/>
        <v>903</v>
      </c>
      <c r="J52">
        <v>904</v>
      </c>
      <c r="K52">
        <v>940</v>
      </c>
      <c r="L52" t="s">
        <v>27</v>
      </c>
    </row>
    <row r="53" spans="1:12" x14ac:dyDescent="0.25">
      <c r="A53" s="26">
        <v>1180</v>
      </c>
      <c r="B53" s="27"/>
      <c r="C53" s="27">
        <v>51</v>
      </c>
      <c r="D53" s="27">
        <v>89</v>
      </c>
      <c r="E53" s="27">
        <v>2.6</v>
      </c>
      <c r="F53" s="27">
        <v>265</v>
      </c>
      <c r="G53" s="28">
        <v>0.5</v>
      </c>
      <c r="H53">
        <v>4560</v>
      </c>
      <c r="I53">
        <f t="shared" si="1"/>
        <v>4615</v>
      </c>
      <c r="J53">
        <v>4616</v>
      </c>
      <c r="K53">
        <v>4681</v>
      </c>
      <c r="L53" t="s">
        <v>27</v>
      </c>
    </row>
    <row r="54" spans="1:12" x14ac:dyDescent="0.25">
      <c r="A54" s="29">
        <v>1840</v>
      </c>
      <c r="B54" s="35">
        <v>1850</v>
      </c>
      <c r="C54" s="35">
        <v>52</v>
      </c>
      <c r="D54" s="35">
        <v>89</v>
      </c>
      <c r="E54" s="35">
        <v>2.4</v>
      </c>
      <c r="F54" s="35">
        <v>264.2</v>
      </c>
      <c r="G54" s="30">
        <v>0.5</v>
      </c>
      <c r="H54">
        <v>8731</v>
      </c>
      <c r="I54">
        <f t="shared" si="1"/>
        <v>8781</v>
      </c>
      <c r="J54">
        <v>8782</v>
      </c>
      <c r="K54">
        <v>8850</v>
      </c>
      <c r="L54" t="s">
        <v>27</v>
      </c>
    </row>
    <row r="55" spans="1:12" x14ac:dyDescent="0.25">
      <c r="A55" s="29">
        <v>1905</v>
      </c>
      <c r="B55" s="35">
        <v>1914</v>
      </c>
      <c r="C55" s="35">
        <v>53</v>
      </c>
      <c r="D55" s="35">
        <v>89</v>
      </c>
      <c r="E55" s="35">
        <v>3.2</v>
      </c>
      <c r="F55" s="35">
        <v>260.89999999999998</v>
      </c>
      <c r="G55" s="30">
        <v>1.28</v>
      </c>
      <c r="H55">
        <v>9126</v>
      </c>
      <c r="I55">
        <f t="shared" si="1"/>
        <v>9183</v>
      </c>
      <c r="J55">
        <v>9184</v>
      </c>
      <c r="K55">
        <v>9209</v>
      </c>
      <c r="L55" t="s">
        <v>27</v>
      </c>
    </row>
    <row r="56" spans="1:12" x14ac:dyDescent="0.25">
      <c r="A56" s="29">
        <v>1938</v>
      </c>
      <c r="B56" s="35">
        <v>1945</v>
      </c>
      <c r="C56" s="35">
        <v>54</v>
      </c>
      <c r="D56" s="35">
        <v>89</v>
      </c>
      <c r="E56" s="35">
        <v>4.0999999999999996</v>
      </c>
      <c r="F56" s="35">
        <v>258</v>
      </c>
      <c r="G56" s="30">
        <v>1.94</v>
      </c>
      <c r="H56">
        <v>9344</v>
      </c>
      <c r="I56">
        <f t="shared" si="1"/>
        <v>9399</v>
      </c>
      <c r="J56">
        <v>9400</v>
      </c>
      <c r="K56">
        <v>9429</v>
      </c>
      <c r="L56" t="s">
        <v>27</v>
      </c>
    </row>
    <row r="57" spans="1:12" x14ac:dyDescent="0.25">
      <c r="A57" s="29">
        <v>1979</v>
      </c>
      <c r="B57" s="35">
        <v>1986</v>
      </c>
      <c r="C57" s="35">
        <v>55</v>
      </c>
      <c r="D57" s="35">
        <v>89</v>
      </c>
      <c r="E57" s="35">
        <v>4.7</v>
      </c>
      <c r="F57" s="35">
        <v>255.2</v>
      </c>
      <c r="G57" s="30">
        <v>2.6</v>
      </c>
      <c r="H57">
        <v>9617</v>
      </c>
      <c r="I57">
        <f t="shared" si="1"/>
        <v>9668</v>
      </c>
      <c r="J57">
        <v>9669</v>
      </c>
      <c r="K57">
        <v>9701</v>
      </c>
      <c r="L57" t="s">
        <v>27</v>
      </c>
    </row>
    <row r="58" spans="1:12" x14ac:dyDescent="0.25">
      <c r="A58" s="29">
        <v>2020</v>
      </c>
      <c r="B58" s="35">
        <v>2028</v>
      </c>
      <c r="C58" s="35">
        <v>56</v>
      </c>
      <c r="D58" s="35">
        <v>89</v>
      </c>
      <c r="E58" s="35">
        <v>5.7</v>
      </c>
      <c r="F58" s="35">
        <v>252.2</v>
      </c>
      <c r="G58" s="30">
        <v>3.5</v>
      </c>
      <c r="H58">
        <v>99</v>
      </c>
      <c r="I58">
        <f t="shared" si="1"/>
        <v>155</v>
      </c>
      <c r="J58">
        <v>156</v>
      </c>
      <c r="K58">
        <v>178</v>
      </c>
      <c r="L58" t="s">
        <v>26</v>
      </c>
    </row>
    <row r="59" spans="1:12" x14ac:dyDescent="0.25">
      <c r="A59" s="29">
        <v>2050</v>
      </c>
      <c r="B59" s="35">
        <v>2065</v>
      </c>
      <c r="C59" s="35">
        <v>57</v>
      </c>
      <c r="D59" s="35">
        <v>89</v>
      </c>
      <c r="E59" s="35">
        <v>7.4</v>
      </c>
      <c r="F59" s="35">
        <v>250</v>
      </c>
      <c r="G59" s="30">
        <v>4.8600000000000003</v>
      </c>
      <c r="H59">
        <v>298</v>
      </c>
      <c r="I59">
        <f t="shared" si="1"/>
        <v>351</v>
      </c>
      <c r="J59">
        <v>352</v>
      </c>
      <c r="K59">
        <v>404</v>
      </c>
      <c r="L59" t="s">
        <v>26</v>
      </c>
    </row>
    <row r="60" spans="1:12" x14ac:dyDescent="0.25">
      <c r="A60" s="29">
        <v>2095</v>
      </c>
      <c r="B60" s="35">
        <v>2105</v>
      </c>
      <c r="C60" s="35">
        <v>58</v>
      </c>
      <c r="D60" s="35">
        <v>89</v>
      </c>
      <c r="E60" s="35">
        <v>9.1999999999999993</v>
      </c>
      <c r="F60" s="35">
        <v>241.8</v>
      </c>
      <c r="G60" s="30">
        <v>7.02</v>
      </c>
      <c r="H60">
        <v>558</v>
      </c>
      <c r="I60">
        <f t="shared" si="1"/>
        <v>609</v>
      </c>
      <c r="J60">
        <v>610</v>
      </c>
      <c r="K60">
        <v>648</v>
      </c>
      <c r="L60" t="s">
        <v>26</v>
      </c>
    </row>
    <row r="61" spans="1:12" x14ac:dyDescent="0.25">
      <c r="A61" s="29">
        <v>2155</v>
      </c>
      <c r="B61" s="35">
        <v>2170</v>
      </c>
      <c r="C61" s="35">
        <v>59</v>
      </c>
      <c r="D61" s="35">
        <v>89</v>
      </c>
      <c r="E61" s="35">
        <v>11.4</v>
      </c>
      <c r="F61" s="35">
        <v>232.6</v>
      </c>
      <c r="G61" s="30">
        <v>9.3000000000000007</v>
      </c>
      <c r="H61">
        <v>1085</v>
      </c>
      <c r="I61">
        <f t="shared" si="1"/>
        <v>1137</v>
      </c>
      <c r="J61">
        <v>1138</v>
      </c>
      <c r="K61">
        <v>1190</v>
      </c>
      <c r="L61" t="s">
        <v>26</v>
      </c>
    </row>
    <row r="62" spans="1:12" x14ac:dyDescent="0.25">
      <c r="A62" s="29">
        <v>2265</v>
      </c>
      <c r="B62" s="35">
        <v>2272</v>
      </c>
      <c r="C62" s="35">
        <v>60</v>
      </c>
      <c r="D62" s="35">
        <v>89</v>
      </c>
      <c r="E62" s="35">
        <v>13.2</v>
      </c>
      <c r="F62" s="35">
        <v>226.8</v>
      </c>
      <c r="G62" s="30">
        <v>11.15</v>
      </c>
      <c r="H62">
        <v>132</v>
      </c>
      <c r="I62">
        <f t="shared" si="1"/>
        <v>188</v>
      </c>
      <c r="J62">
        <v>189</v>
      </c>
      <c r="K62">
        <v>242</v>
      </c>
      <c r="L62" t="s">
        <v>25</v>
      </c>
    </row>
    <row r="63" spans="1:12" ht="15.75" thickBot="1" x14ac:dyDescent="0.3">
      <c r="A63" s="33">
        <v>2360</v>
      </c>
      <c r="B63" s="31">
        <v>2365</v>
      </c>
      <c r="C63" s="31">
        <v>61</v>
      </c>
      <c r="D63" s="31">
        <v>89</v>
      </c>
      <c r="E63" s="31">
        <v>16.5</v>
      </c>
      <c r="F63" s="31">
        <v>215.1</v>
      </c>
      <c r="G63" s="32">
        <v>14.16</v>
      </c>
      <c r="H63">
        <v>758</v>
      </c>
      <c r="I63">
        <f t="shared" si="1"/>
        <v>809</v>
      </c>
      <c r="J63">
        <v>810</v>
      </c>
      <c r="K63">
        <v>839</v>
      </c>
      <c r="L63" t="s">
        <v>25</v>
      </c>
    </row>
    <row r="64" spans="1:12" x14ac:dyDescent="0.25">
      <c r="A64" s="26">
        <v>2520</v>
      </c>
      <c r="B64" s="27">
        <v>2530</v>
      </c>
      <c r="C64" s="27">
        <v>62</v>
      </c>
      <c r="D64" s="27">
        <v>99</v>
      </c>
      <c r="E64" s="27">
        <v>2.5</v>
      </c>
      <c r="F64" s="27">
        <v>296.60000000000002</v>
      </c>
      <c r="G64" s="28">
        <v>0.48</v>
      </c>
      <c r="H64">
        <v>909</v>
      </c>
      <c r="I64">
        <f t="shared" si="1"/>
        <v>968</v>
      </c>
      <c r="J64">
        <v>969</v>
      </c>
      <c r="K64">
        <v>1023</v>
      </c>
      <c r="L64" t="s">
        <v>24</v>
      </c>
    </row>
    <row r="65" spans="1:12" x14ac:dyDescent="0.25">
      <c r="A65" s="29">
        <v>2605</v>
      </c>
      <c r="B65" s="35">
        <v>2612</v>
      </c>
      <c r="C65" s="35">
        <v>63</v>
      </c>
      <c r="D65" s="35">
        <v>99</v>
      </c>
      <c r="E65" s="35">
        <v>3.8</v>
      </c>
      <c r="F65" s="35">
        <v>290</v>
      </c>
      <c r="G65" s="30">
        <v>1.67</v>
      </c>
      <c r="H65">
        <v>1383</v>
      </c>
      <c r="I65">
        <f t="shared" si="1"/>
        <v>1439</v>
      </c>
      <c r="J65">
        <v>1440</v>
      </c>
      <c r="K65">
        <v>1468</v>
      </c>
      <c r="L65" t="s">
        <v>24</v>
      </c>
    </row>
    <row r="66" spans="1:12" x14ac:dyDescent="0.25">
      <c r="A66" s="29">
        <v>2650</v>
      </c>
      <c r="B66" s="35">
        <v>2660</v>
      </c>
      <c r="C66" s="35">
        <v>64</v>
      </c>
      <c r="D66" s="35">
        <v>99</v>
      </c>
      <c r="E66" s="35">
        <v>4.5</v>
      </c>
      <c r="F66" s="35">
        <v>287.60000000000002</v>
      </c>
      <c r="G66" s="30">
        <v>2.3199999999999998</v>
      </c>
      <c r="H66">
        <v>1656</v>
      </c>
      <c r="I66">
        <f t="shared" si="1"/>
        <v>1712</v>
      </c>
      <c r="J66">
        <v>1713</v>
      </c>
      <c r="K66">
        <v>1755</v>
      </c>
      <c r="L66" t="s">
        <v>24</v>
      </c>
    </row>
    <row r="67" spans="1:12" x14ac:dyDescent="0.25">
      <c r="A67" s="29">
        <v>2690</v>
      </c>
      <c r="B67" s="35">
        <v>2700</v>
      </c>
      <c r="C67" s="35">
        <v>65</v>
      </c>
      <c r="D67" s="35">
        <v>99</v>
      </c>
      <c r="E67" s="35">
        <v>5.2</v>
      </c>
      <c r="F67" s="35">
        <v>286.2</v>
      </c>
      <c r="G67" s="30">
        <v>2.7</v>
      </c>
      <c r="H67">
        <v>1894</v>
      </c>
      <c r="I67">
        <f t="shared" si="1"/>
        <v>1949</v>
      </c>
      <c r="J67">
        <v>1950</v>
      </c>
      <c r="K67">
        <v>2009</v>
      </c>
      <c r="L67" t="s">
        <v>24</v>
      </c>
    </row>
    <row r="68" spans="1:12" x14ac:dyDescent="0.25">
      <c r="A68" s="29">
        <v>2725</v>
      </c>
      <c r="B68" s="35">
        <v>2737</v>
      </c>
      <c r="C68" s="35">
        <v>66</v>
      </c>
      <c r="D68" s="35">
        <v>99</v>
      </c>
      <c r="E68" s="35">
        <v>6.7</v>
      </c>
      <c r="F68" s="35">
        <v>280.39999999999998</v>
      </c>
      <c r="G68" s="30">
        <v>4.1500000000000004</v>
      </c>
      <c r="H68">
        <v>2118</v>
      </c>
      <c r="I68">
        <f t="shared" si="1"/>
        <v>2174</v>
      </c>
      <c r="J68">
        <v>2175</v>
      </c>
      <c r="K68">
        <v>2219</v>
      </c>
      <c r="L68" t="s">
        <v>24</v>
      </c>
    </row>
    <row r="69" spans="1:12" x14ac:dyDescent="0.25">
      <c r="A69" s="29">
        <v>2778</v>
      </c>
      <c r="B69" s="35">
        <v>2791</v>
      </c>
      <c r="C69" s="35">
        <v>67</v>
      </c>
      <c r="D69" s="35">
        <v>99</v>
      </c>
      <c r="E69" s="35">
        <v>9.5</v>
      </c>
      <c r="F69" s="35">
        <v>270.7</v>
      </c>
      <c r="G69" s="30">
        <v>6.72</v>
      </c>
      <c r="H69">
        <v>2431</v>
      </c>
      <c r="I69">
        <f>J69-1</f>
        <v>2489</v>
      </c>
      <c r="J69">
        <v>2490</v>
      </c>
      <c r="K69">
        <v>2543</v>
      </c>
      <c r="L69" t="s">
        <v>24</v>
      </c>
    </row>
    <row r="70" spans="1:12" x14ac:dyDescent="0.25">
      <c r="A70" s="29">
        <v>2976</v>
      </c>
      <c r="B70" s="35">
        <v>2986</v>
      </c>
      <c r="C70" s="35">
        <v>68</v>
      </c>
      <c r="D70" s="35">
        <v>99</v>
      </c>
      <c r="E70" s="35">
        <v>12</v>
      </c>
      <c r="F70" s="35">
        <v>261.10000000000002</v>
      </c>
      <c r="G70" s="30">
        <v>9</v>
      </c>
      <c r="H70">
        <v>3616</v>
      </c>
      <c r="I70">
        <v>3671</v>
      </c>
      <c r="J70">
        <v>3672</v>
      </c>
      <c r="K70">
        <v>3719</v>
      </c>
      <c r="L70" t="s">
        <v>24</v>
      </c>
    </row>
    <row r="71" spans="1:12" x14ac:dyDescent="0.25">
      <c r="A71" s="29">
        <v>3040</v>
      </c>
      <c r="B71" s="35">
        <v>3048</v>
      </c>
      <c r="C71" s="35">
        <v>69</v>
      </c>
      <c r="D71" s="35">
        <v>99</v>
      </c>
      <c r="E71" s="35">
        <v>15.6</v>
      </c>
      <c r="F71" s="35">
        <v>250.8</v>
      </c>
      <c r="G71" s="30">
        <v>11.12</v>
      </c>
      <c r="H71">
        <v>242</v>
      </c>
      <c r="I71">
        <v>305</v>
      </c>
      <c r="J71">
        <v>306</v>
      </c>
      <c r="K71">
        <v>341</v>
      </c>
      <c r="L71" t="s">
        <v>23</v>
      </c>
    </row>
    <row r="72" spans="1:12" ht="15.75" thickBot="1" x14ac:dyDescent="0.3">
      <c r="A72" s="33">
        <v>3105</v>
      </c>
      <c r="B72" s="31">
        <v>3118</v>
      </c>
      <c r="C72" s="31">
        <v>70</v>
      </c>
      <c r="D72" s="31">
        <v>99</v>
      </c>
      <c r="E72" s="31">
        <v>19.399999999999999</v>
      </c>
      <c r="F72" s="31">
        <v>236.6</v>
      </c>
      <c r="G72" s="32">
        <v>15.24</v>
      </c>
      <c r="H72">
        <v>267</v>
      </c>
      <c r="I72">
        <v>329</v>
      </c>
      <c r="J72">
        <v>330</v>
      </c>
      <c r="K72">
        <v>362</v>
      </c>
      <c r="L72" t="s">
        <v>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B234-4D9C-4F56-937B-6A4EF244F883}">
  <dimension ref="B2:C15"/>
  <sheetViews>
    <sheetView workbookViewId="0">
      <selection activeCell="B27" sqref="B27"/>
    </sheetView>
  </sheetViews>
  <sheetFormatPr defaultRowHeight="15" x14ac:dyDescent="0.25"/>
  <sheetData>
    <row r="2" spans="2:3" x14ac:dyDescent="0.25">
      <c r="B2">
        <v>0</v>
      </c>
      <c r="C2">
        <v>0</v>
      </c>
    </row>
    <row r="3" spans="2:3" x14ac:dyDescent="0.25">
      <c r="B3">
        <v>100</v>
      </c>
      <c r="C3">
        <v>28</v>
      </c>
    </row>
    <row r="5" spans="2:3" x14ac:dyDescent="0.25">
      <c r="B5">
        <v>0</v>
      </c>
      <c r="C5">
        <f>B5/$C$3</f>
        <v>0</v>
      </c>
    </row>
    <row r="6" spans="2:3" x14ac:dyDescent="0.25">
      <c r="B6">
        <v>10</v>
      </c>
      <c r="C6">
        <f>(B6/100) *$C$3</f>
        <v>2.8000000000000003</v>
      </c>
    </row>
    <row r="7" spans="2:3" x14ac:dyDescent="0.25">
      <c r="B7">
        <v>20</v>
      </c>
      <c r="C7">
        <f t="shared" ref="C7:C15" si="0">(B7/100) *$C$3</f>
        <v>5.6000000000000005</v>
      </c>
    </row>
    <row r="8" spans="2:3" x14ac:dyDescent="0.25">
      <c r="B8">
        <v>30</v>
      </c>
      <c r="C8">
        <f t="shared" si="0"/>
        <v>8.4</v>
      </c>
    </row>
    <row r="9" spans="2:3" x14ac:dyDescent="0.25">
      <c r="B9">
        <v>40</v>
      </c>
      <c r="C9">
        <f t="shared" si="0"/>
        <v>11.200000000000001</v>
      </c>
    </row>
    <row r="10" spans="2:3" x14ac:dyDescent="0.25">
      <c r="B10">
        <v>50</v>
      </c>
      <c r="C10">
        <f t="shared" si="0"/>
        <v>14</v>
      </c>
    </row>
    <row r="11" spans="2:3" x14ac:dyDescent="0.25">
      <c r="B11">
        <v>60</v>
      </c>
      <c r="C11">
        <f t="shared" si="0"/>
        <v>16.8</v>
      </c>
    </row>
    <row r="12" spans="2:3" x14ac:dyDescent="0.25">
      <c r="B12">
        <v>70</v>
      </c>
      <c r="C12">
        <f t="shared" si="0"/>
        <v>19.599999999999998</v>
      </c>
    </row>
    <row r="13" spans="2:3" x14ac:dyDescent="0.25">
      <c r="B13">
        <v>80</v>
      </c>
      <c r="C13">
        <f t="shared" si="0"/>
        <v>22.400000000000002</v>
      </c>
    </row>
    <row r="14" spans="2:3" x14ac:dyDescent="0.25">
      <c r="B14">
        <v>90</v>
      </c>
      <c r="C14">
        <f t="shared" si="0"/>
        <v>25.2</v>
      </c>
    </row>
    <row r="15" spans="2:3" x14ac:dyDescent="0.25">
      <c r="B15">
        <v>100</v>
      </c>
      <c r="C15">
        <f t="shared" si="0"/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structure</vt:lpstr>
      <vt:lpstr>Test Data</vt:lpstr>
      <vt:lpstr>Throttle vs voltage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Cotter, Sean</cp:lastModifiedBy>
  <dcterms:created xsi:type="dcterms:W3CDTF">2015-06-05T18:17:20Z</dcterms:created>
  <dcterms:modified xsi:type="dcterms:W3CDTF">2025-11-14T18:11:53Z</dcterms:modified>
</cp:coreProperties>
</file>