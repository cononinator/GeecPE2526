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0500447\Documents\1 - Schematics\"/>
    </mc:Choice>
  </mc:AlternateContent>
  <xr:revisionPtr revIDLastSave="0" documentId="13_ncr:1_{0717A6D2-5BBB-4A1F-B0D9-8FE981A9BBEA}" xr6:coauthVersionLast="36" xr6:coauthVersionMax="36" xr10:uidLastSave="{00000000-0000-0000-0000-000000000000}"/>
  <bookViews>
    <workbookView xWindow="0" yWindow="0" windowWidth="19200" windowHeight="8150" xr2:uid="{D8F8B8D6-51AA-4EC4-B102-8E76D0F6BB2D}"/>
  </bookViews>
  <sheets>
    <sheet name="Schematic Review Checklist" sheetId="6" r:id="rId1"/>
    <sheet name="Bootstrap" sheetId="7" r:id="rId2"/>
    <sheet name="Power Dissipation" sheetId="8" r:id="rId3"/>
    <sheet name="Switching Times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9" l="1"/>
  <c r="D9" i="9"/>
  <c r="D23" i="8"/>
  <c r="D22" i="8"/>
  <c r="D21" i="8"/>
  <c r="D20" i="8"/>
  <c r="D24" i="8" s="1"/>
  <c r="D26" i="8" s="1"/>
  <c r="D12" i="7"/>
  <c r="D11" i="7"/>
  <c r="D14" i="7" s="1"/>
  <c r="D10" i="7"/>
  <c r="I5" i="7"/>
</calcChain>
</file>

<file path=xl/sharedStrings.xml><?xml version="1.0" encoding="utf-8"?>
<sst xmlns="http://schemas.openxmlformats.org/spreadsheetml/2006/main" count="306" uniqueCount="191">
  <si>
    <t xml:space="preserve">Texas Instruments </t>
  </si>
  <si>
    <t>Typical Application Schematic</t>
  </si>
  <si>
    <t>System</t>
  </si>
  <si>
    <t>Component</t>
  </si>
  <si>
    <t>Purpose</t>
  </si>
  <si>
    <t>Typical Value</t>
  </si>
  <si>
    <t>Additional Considerations</t>
  </si>
  <si>
    <t>Connections</t>
  </si>
  <si>
    <t>Check if Complete</t>
  </si>
  <si>
    <t>Comments</t>
  </si>
  <si>
    <t>Component Required</t>
  </si>
  <si>
    <t>Layout Recommendations</t>
  </si>
  <si>
    <t>LMG1210 Schematic and Layout Checklist</t>
  </si>
  <si>
    <t>Open</t>
  </si>
  <si>
    <t>Bootstrap</t>
  </si>
  <si>
    <t>Cboot</t>
  </si>
  <si>
    <t>Build charge to drive high side gate</t>
  </si>
  <si>
    <t>Yes</t>
  </si>
  <si>
    <t>HS, HB</t>
  </si>
  <si>
    <t>Place close to HS, HB pins</t>
  </si>
  <si>
    <t>Rboot</t>
  </si>
  <si>
    <t>No</t>
  </si>
  <si>
    <t>1Ω - 20Ω  </t>
  </si>
  <si>
    <t>HB, Dboot</t>
  </si>
  <si>
    <t>Minimize path length from supply to Cboot</t>
  </si>
  <si>
    <t>Dboot</t>
  </si>
  <si>
    <t>High Voltage (Voltage rating should be higher than the DC link), fast recovery diode or SiC Schottky diode with a low forward drop voltage and low junction capacitance  </t>
  </si>
  <si>
    <t>Rboot, VDD</t>
  </si>
  <si>
    <t>Power supply</t>
  </si>
  <si>
    <t>VDD,GND</t>
  </si>
  <si>
    <t>Reduce noise on VDD pin</t>
  </si>
  <si>
    <t>Input Filtering</t>
  </si>
  <si>
    <t>HI Resistor</t>
  </si>
  <si>
    <t>Filter input noise</t>
  </si>
  <si>
    <t>0Ω - 100Ω </t>
  </si>
  <si>
    <t>HI, Input</t>
  </si>
  <si>
    <t>Place close to HI pin</t>
  </si>
  <si>
    <t>HI Cap</t>
  </si>
  <si>
    <t>10pF-100pF</t>
  </si>
  <si>
    <t>HI, GND</t>
  </si>
  <si>
    <t>LI Resistor</t>
  </si>
  <si>
    <t>LI, Input</t>
  </si>
  <si>
    <t>Place close to LI pin</t>
  </si>
  <si>
    <t>LI Cap</t>
  </si>
  <si>
    <t>LI, GND</t>
  </si>
  <si>
    <t>Outputs</t>
  </si>
  <si>
    <t>0 - 5Ω</t>
  </si>
  <si>
    <t>Dead Time Selection</t>
  </si>
  <si>
    <t>Limit Dboot current</t>
  </si>
  <si>
    <t>DHL dead time resistor</t>
  </si>
  <si>
    <t>Sets the dead time for a high-to-low transition in PWM mode</t>
  </si>
  <si>
    <t>Sets the dead time for a low-to-high transition in PWM mode</t>
  </si>
  <si>
    <t>DLH dead time resistor</t>
  </si>
  <si>
    <t>DHL,VSS</t>
  </si>
  <si>
    <t>DLH,VSS</t>
  </si>
  <si>
    <t>20kΩ - 1.8MΩ</t>
  </si>
  <si>
    <t>For a desired dead time (tdt), the corresponding required resistance can be calculated with tdt in ns and Rext in kΩ by this formula: Rext = (900/tdt ) – 25</t>
  </si>
  <si>
    <t>HO, High gate</t>
  </si>
  <si>
    <t>LO, Low Gate</t>
  </si>
  <si>
    <t>HO Rgate</t>
  </si>
  <si>
    <t>LO Rgate</t>
  </si>
  <si>
    <t>Allow charging of Cboot when forward biased, and prevent Cboot charges flowing back to VDD when reverse biased</t>
  </si>
  <si>
    <t>Reduce VDD drop at switch on and replenish Cboot</t>
  </si>
  <si>
    <t>100nF</t>
  </si>
  <si>
    <t>Adjust switching speed and reduce ringing</t>
  </si>
  <si>
    <t>Place between HO and gate with trace as short and wide as possible to minimize group loop</t>
  </si>
  <si>
    <t>Place between LO and gate with trace as short and wide as possible to minimize group loop</t>
  </si>
  <si>
    <t>Yes (only in PWM mode)</t>
  </si>
  <si>
    <t>Use this document as a supplemental checklist to be used with the driver's datasheet</t>
  </si>
  <si>
    <t>10V, Feedthru, SMD recommended</t>
  </si>
  <si>
    <t>Vdd Large Bypass cap</t>
  </si>
  <si>
    <t>Vdd Small Bypass cap</t>
  </si>
  <si>
    <t>Vin Bypass Capacitor</t>
  </si>
  <si>
    <t>Reduce noise on Vin pin</t>
  </si>
  <si>
    <r>
      <rPr>
        <sz val="11"/>
        <color theme="1"/>
        <rFont val="Calibri"/>
        <family val="2"/>
      </rPr>
      <t>220nF - 10μ</t>
    </r>
    <r>
      <rPr>
        <sz val="11"/>
        <color theme="1"/>
        <rFont val="Calibri"/>
        <family val="2"/>
        <scheme val="minor"/>
      </rPr>
      <t>F</t>
    </r>
  </si>
  <si>
    <t>25V - 50V, MLCC, X7R recommended</t>
  </si>
  <si>
    <t>Place as close to VDD pin as possible, connect to Vss</t>
  </si>
  <si>
    <t>Place close to HI pin, connect to GND</t>
  </si>
  <si>
    <t>Place close to LI pin, connect to GND</t>
  </si>
  <si>
    <t>Place as close to Vin pin as possible, connect to Vss</t>
  </si>
  <si>
    <t>Have symetrical traces/component placement between HI and LI circuit. For applications with pulse widths in the single digit ns range avoid input filtering.</t>
  </si>
  <si>
    <t>25V, MLCC, X7R recommended</t>
  </si>
  <si>
    <t>10μF</t>
  </si>
  <si>
    <t>DHL, GND                                        (If using IIM this pin can be left floating, tied to GND, tied to VDD)</t>
  </si>
  <si>
    <t>DLH, GND                                                           (Tie to VDD to select IIM)</t>
  </si>
  <si>
    <t>Based on system specs (sizing of Cboot and Cvdd is based on Qtot - check Sec 3.1 in link at the bottom)</t>
  </si>
  <si>
    <t>Rboot must be able to withstand high power dissipation during the first charging sequence of the bootstrap capacitor (calculations can be found in Sec 3.4 in link at the bottom)</t>
  </si>
  <si>
    <t>Bootstrap Circuitry Selection for Half Bridge Configurations</t>
  </si>
  <si>
    <t>Spec</t>
  </si>
  <si>
    <t>Value</t>
  </si>
  <si>
    <t>Unit</t>
  </si>
  <si>
    <t>User Inputs</t>
  </si>
  <si>
    <t>Vdd</t>
  </si>
  <si>
    <r>
      <t>V</t>
    </r>
    <r>
      <rPr>
        <vertAlign val="subscript"/>
        <sz val="11"/>
        <color theme="1"/>
        <rFont val="Calibri"/>
        <family val="2"/>
        <scheme val="minor"/>
      </rPr>
      <t>DD</t>
    </r>
  </si>
  <si>
    <t>V</t>
  </si>
  <si>
    <t>Bootstrap resistance</t>
  </si>
  <si>
    <t>Driver Datasheet Values</t>
  </si>
  <si>
    <t>Bootstrap Diode Forward Voltage Drop</t>
  </si>
  <si>
    <r>
      <t>V</t>
    </r>
    <r>
      <rPr>
        <vertAlign val="subscript"/>
        <sz val="11"/>
        <color theme="1"/>
        <rFont val="Calibri"/>
        <family val="2"/>
        <scheme val="minor"/>
      </rPr>
      <t>DH</t>
    </r>
  </si>
  <si>
    <t>HB Falling Threshold</t>
  </si>
  <si>
    <r>
      <t>V</t>
    </r>
    <r>
      <rPr>
        <vertAlign val="subscript"/>
        <sz val="11"/>
        <color theme="1"/>
        <rFont val="Calibri"/>
        <family val="2"/>
        <scheme val="minor"/>
      </rPr>
      <t>HBL</t>
    </r>
  </si>
  <si>
    <t>Bootstrap Diode peak current</t>
  </si>
  <si>
    <r>
      <t>I</t>
    </r>
    <r>
      <rPr>
        <vertAlign val="subscript"/>
        <sz val="11"/>
        <color theme="1"/>
        <rFont val="Calibri"/>
        <family val="2"/>
        <scheme val="minor"/>
      </rPr>
      <t>pk</t>
    </r>
  </si>
  <si>
    <t>A</t>
  </si>
  <si>
    <t>FET Gate Charge</t>
  </si>
  <si>
    <r>
      <t>Q</t>
    </r>
    <r>
      <rPr>
        <vertAlign val="subscript"/>
        <sz val="11"/>
        <color theme="1"/>
        <rFont val="Calibri"/>
        <family val="2"/>
        <scheme val="minor"/>
      </rPr>
      <t>G</t>
    </r>
  </si>
  <si>
    <t>nC</t>
  </si>
  <si>
    <t>Min Bootsrap resistance (if using external bootstrap diode)</t>
  </si>
  <si>
    <r>
      <t>R</t>
    </r>
    <r>
      <rPr>
        <vertAlign val="subscript"/>
        <sz val="11"/>
        <color theme="1"/>
        <rFont val="Calibri"/>
        <family val="2"/>
        <scheme val="minor"/>
      </rPr>
      <t>boot</t>
    </r>
  </si>
  <si>
    <t>Ω</t>
  </si>
  <si>
    <t>HB to VSS Leakage Current</t>
  </si>
  <si>
    <r>
      <t>I</t>
    </r>
    <r>
      <rPr>
        <vertAlign val="subscript"/>
        <sz val="11"/>
        <color theme="1"/>
        <rFont val="Calibri"/>
        <family val="2"/>
        <scheme val="minor"/>
      </rPr>
      <t>HBS</t>
    </r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</si>
  <si>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A</t>
    </r>
  </si>
  <si>
    <t>Max duty cycle</t>
  </si>
  <si>
    <r>
      <t>D</t>
    </r>
    <r>
      <rPr>
        <vertAlign val="subscript"/>
        <sz val="11"/>
        <color theme="1"/>
        <rFont val="Calibri"/>
        <family val="2"/>
        <scheme val="minor"/>
      </rPr>
      <t>MAX</t>
    </r>
  </si>
  <si>
    <t>%</t>
  </si>
  <si>
    <t>Bootstrap Voltage Change</t>
  </si>
  <si>
    <t>switching frequency</t>
  </si>
  <si>
    <r>
      <t>f</t>
    </r>
    <r>
      <rPr>
        <vertAlign val="subscript"/>
        <sz val="11"/>
        <color theme="1"/>
        <rFont val="Calibri"/>
        <family val="2"/>
        <scheme val="minor"/>
      </rPr>
      <t>SW</t>
    </r>
  </si>
  <si>
    <t>kHz</t>
  </si>
  <si>
    <t>HB quiescent current</t>
  </si>
  <si>
    <r>
      <t>I</t>
    </r>
    <r>
      <rPr>
        <vertAlign val="subscript"/>
        <sz val="11"/>
        <color theme="1"/>
        <rFont val="Calibri"/>
        <family val="2"/>
        <scheme val="minor"/>
      </rPr>
      <t>HB</t>
    </r>
  </si>
  <si>
    <t>mA</t>
  </si>
  <si>
    <t>Max bootstrap ripple</t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</si>
  <si>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V</t>
    </r>
    <r>
      <rPr>
        <vertAlign val="subscript"/>
        <sz val="11"/>
        <color theme="1"/>
        <rFont val="Calibri"/>
        <family val="2"/>
        <scheme val="minor"/>
      </rPr>
      <t>HB</t>
    </r>
  </si>
  <si>
    <t>Bootstrap charge</t>
  </si>
  <si>
    <r>
      <t>Q</t>
    </r>
    <r>
      <rPr>
        <vertAlign val="subscript"/>
        <sz val="11"/>
        <color theme="1"/>
        <rFont val="Calibri"/>
        <family val="2"/>
        <scheme val="minor"/>
      </rPr>
      <t>TOTAL</t>
    </r>
  </si>
  <si>
    <t>Min Bootstrap Capacitance</t>
  </si>
  <si>
    <r>
      <t>C</t>
    </r>
    <r>
      <rPr>
        <vertAlign val="subscript"/>
        <sz val="11"/>
        <color theme="1"/>
        <rFont val="Calibri"/>
        <family val="2"/>
        <scheme val="minor"/>
      </rPr>
      <t>BOOT(min)</t>
    </r>
  </si>
  <si>
    <t>nF</t>
  </si>
  <si>
    <t>Target bootstrap ripple</t>
  </si>
  <si>
    <t>Bootstrap Capacitance</t>
  </si>
  <si>
    <t>Recommended bootstrap capacitance</t>
  </si>
  <si>
    <r>
      <t>C</t>
    </r>
    <r>
      <rPr>
        <vertAlign val="subscript"/>
        <sz val="11"/>
        <color theme="1"/>
        <rFont val="Calibri"/>
        <family val="2"/>
        <scheme val="minor"/>
      </rPr>
      <t>BOOT</t>
    </r>
  </si>
  <si>
    <t>Input System Value</t>
  </si>
  <si>
    <t>Input Datasheet Value</t>
  </si>
  <si>
    <t>Gate Charge (Total)</t>
  </si>
  <si>
    <t>Switching Power Loss</t>
  </si>
  <si>
    <t>Output</t>
  </si>
  <si>
    <t>Switching Frequency</t>
  </si>
  <si>
    <t>FET internal gate resistance</t>
  </si>
  <si>
    <r>
      <t>R</t>
    </r>
    <r>
      <rPr>
        <vertAlign val="subscript"/>
        <sz val="11"/>
        <color theme="1"/>
        <rFont val="Calibri"/>
        <family val="2"/>
        <scheme val="minor"/>
      </rPr>
      <t>FET(int)</t>
    </r>
  </si>
  <si>
    <t>Driver pull up resistance</t>
  </si>
  <si>
    <r>
      <t>R</t>
    </r>
    <r>
      <rPr>
        <vertAlign val="subscript"/>
        <sz val="11"/>
        <color theme="1"/>
        <rFont val="Calibri"/>
        <family val="2"/>
        <scheme val="minor"/>
      </rPr>
      <t>Driver(int)(on)</t>
    </r>
  </si>
  <si>
    <t>Gate resistance (on)</t>
  </si>
  <si>
    <r>
      <t>R</t>
    </r>
    <r>
      <rPr>
        <vertAlign val="subscript"/>
        <sz val="11"/>
        <color theme="1"/>
        <rFont val="Calibri"/>
        <family val="2"/>
        <scheme val="minor"/>
      </rPr>
      <t>GATE(on)</t>
    </r>
  </si>
  <si>
    <t>Driver pull down resistance</t>
  </si>
  <si>
    <r>
      <t>R</t>
    </r>
    <r>
      <rPr>
        <vertAlign val="subscript"/>
        <sz val="11"/>
        <color theme="1"/>
        <rFont val="Calibri"/>
        <family val="2"/>
        <scheme val="minor"/>
      </rPr>
      <t>Driver(int)(off)</t>
    </r>
  </si>
  <si>
    <t>Quiescent Current Power Loss</t>
  </si>
  <si>
    <t>Gate resistance (off)</t>
  </si>
  <si>
    <r>
      <t>R</t>
    </r>
    <r>
      <rPr>
        <vertAlign val="subscript"/>
        <sz val="11"/>
        <color theme="1"/>
        <rFont val="Calibri"/>
        <family val="2"/>
        <scheme val="minor"/>
      </rPr>
      <t>GATE(off)</t>
    </r>
  </si>
  <si>
    <t>Vdd quiescent current</t>
  </si>
  <si>
    <r>
      <t>I</t>
    </r>
    <r>
      <rPr>
        <vertAlign val="subscript"/>
        <sz val="11"/>
        <color theme="1"/>
        <rFont val="Calibri"/>
        <family val="2"/>
        <scheme val="minor"/>
      </rPr>
      <t>DD</t>
    </r>
  </si>
  <si>
    <t>Diode voltage drop</t>
  </si>
  <si>
    <t>Leakage Current Power Loss</t>
  </si>
  <si>
    <t>Is diode integrated in driver</t>
  </si>
  <si>
    <t>yes</t>
  </si>
  <si>
    <t>Diode reverse recovery current</t>
  </si>
  <si>
    <r>
      <t>I</t>
    </r>
    <r>
      <rPr>
        <vertAlign val="subscript"/>
        <sz val="11"/>
        <color theme="1"/>
        <rFont val="Calibri"/>
        <family val="2"/>
        <scheme val="minor"/>
      </rPr>
      <t>RR</t>
    </r>
  </si>
  <si>
    <t>Diode Power Loss</t>
  </si>
  <si>
    <t>Diode reverse recovery time</t>
  </si>
  <si>
    <r>
      <t>t</t>
    </r>
    <r>
      <rPr>
        <vertAlign val="subscript"/>
        <sz val="11"/>
        <color theme="1"/>
        <rFont val="Calibri"/>
        <family val="2"/>
        <scheme val="minor"/>
      </rPr>
      <t>RR</t>
    </r>
  </si>
  <si>
    <t>ns</t>
  </si>
  <si>
    <t>Diode reverse voltage</t>
  </si>
  <si>
    <r>
      <t>V</t>
    </r>
    <r>
      <rPr>
        <vertAlign val="subscript"/>
        <sz val="11"/>
        <color theme="1"/>
        <rFont val="Calibri"/>
        <family val="2"/>
        <scheme val="minor"/>
      </rPr>
      <t>RR</t>
    </r>
  </si>
  <si>
    <t>HB to VSS quiescent current</t>
  </si>
  <si>
    <t>μA</t>
  </si>
  <si>
    <t>HB max voltage</t>
  </si>
  <si>
    <r>
      <t>V</t>
    </r>
    <r>
      <rPr>
        <vertAlign val="subscript"/>
        <sz val="11"/>
        <color theme="1"/>
        <rFont val="Calibri"/>
        <family val="2"/>
        <scheme val="minor"/>
      </rPr>
      <t>HB(max)</t>
    </r>
  </si>
  <si>
    <t>duty cycle</t>
  </si>
  <si>
    <r>
      <t>P</t>
    </r>
    <r>
      <rPr>
        <vertAlign val="subscript"/>
        <sz val="11"/>
        <color theme="1"/>
        <rFont val="Calibri"/>
        <family val="2"/>
        <scheme val="minor"/>
      </rPr>
      <t>QG</t>
    </r>
  </si>
  <si>
    <t>mW</t>
  </si>
  <si>
    <r>
      <t>P</t>
    </r>
    <r>
      <rPr>
        <vertAlign val="subscript"/>
        <sz val="11"/>
        <color theme="1"/>
        <rFont val="Calibri"/>
        <family val="2"/>
        <scheme val="minor"/>
      </rPr>
      <t>QC</t>
    </r>
  </si>
  <si>
    <r>
      <t>P</t>
    </r>
    <r>
      <rPr>
        <vertAlign val="subscript"/>
        <sz val="11"/>
        <color theme="1"/>
        <rFont val="Calibri"/>
        <family val="2"/>
        <scheme val="minor"/>
      </rPr>
      <t>DF</t>
    </r>
  </si>
  <si>
    <t>Low Side Leakage Power Loss</t>
  </si>
  <si>
    <r>
      <t>P</t>
    </r>
    <r>
      <rPr>
        <vertAlign val="subscript"/>
        <sz val="11"/>
        <color theme="1"/>
        <rFont val="Calibri"/>
        <family val="2"/>
        <scheme val="minor"/>
      </rPr>
      <t>IHBS</t>
    </r>
  </si>
  <si>
    <t>Total Device Power Loss</t>
  </si>
  <si>
    <t>Thermal Resistance</t>
  </si>
  <si>
    <r>
      <t>R</t>
    </r>
    <r>
      <rPr>
        <vertAlign val="subscript"/>
        <sz val="11"/>
        <color theme="1"/>
        <rFont val="Calibri"/>
        <family val="2"/>
      </rPr>
      <t>θ</t>
    </r>
  </si>
  <si>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C/W</t>
    </r>
  </si>
  <si>
    <t>Estimated Driver Temperature Increase</t>
  </si>
  <si>
    <t>T</t>
  </si>
  <si>
    <t>°C</t>
  </si>
  <si>
    <t>Gate Charge</t>
  </si>
  <si>
    <t>Gate Charge Measurement Voltage</t>
  </si>
  <si>
    <r>
      <t>V</t>
    </r>
    <r>
      <rPr>
        <vertAlign val="subscript"/>
        <sz val="11"/>
        <color theme="1"/>
        <rFont val="Calibri"/>
        <family val="2"/>
        <scheme val="minor"/>
      </rPr>
      <t>QG</t>
    </r>
  </si>
  <si>
    <t>Switch time</t>
  </si>
  <si>
    <t>turn on time</t>
  </si>
  <si>
    <r>
      <t>t</t>
    </r>
    <r>
      <rPr>
        <vertAlign val="subscript"/>
        <sz val="11"/>
        <color theme="1"/>
        <rFont val="Calibri"/>
        <family val="2"/>
        <scheme val="minor"/>
      </rPr>
      <t>ON</t>
    </r>
  </si>
  <si>
    <t>turn off time</t>
  </si>
  <si>
    <r>
      <t>t</t>
    </r>
    <r>
      <rPr>
        <vertAlign val="subscript"/>
        <sz val="11"/>
        <color theme="1"/>
        <rFont val="Calibri"/>
        <family val="2"/>
        <scheme val="minor"/>
      </rPr>
      <t>OFF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</si>
</sst>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2" xfId="0" applyBorder="1"/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16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12" xfId="0" applyFill="1" applyBorder="1"/>
    <xf numFmtId="0" fontId="0" fillId="0" borderId="12" xfId="0" applyFill="1" applyBorder="1" applyAlignment="1">
      <alignment wrapText="1"/>
    </xf>
    <xf numFmtId="0" fontId="0" fillId="0" borderId="22" xfId="0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0" fillId="0" borderId="3" xfId="0" applyFill="1" applyBorder="1"/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1" fillId="0" borderId="24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0" borderId="25" xfId="0" applyFont="1" applyFill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3" fillId="2" borderId="0" xfId="0" applyFont="1" applyFill="1"/>
    <xf numFmtId="0" fontId="0" fillId="0" borderId="0" xfId="0" applyAlignment="1"/>
    <xf numFmtId="0" fontId="0" fillId="3" borderId="3" xfId="0" applyFill="1" applyBorder="1" applyAlignment="1">
      <alignment wrapText="1"/>
    </xf>
    <xf numFmtId="0" fontId="0" fillId="0" borderId="27" xfId="0" applyBorder="1" applyAlignment="1">
      <alignment wrapText="1"/>
    </xf>
    <xf numFmtId="0" fontId="0" fillId="0" borderId="27" xfId="0" applyFill="1" applyBorder="1" applyAlignment="1">
      <alignment wrapText="1"/>
    </xf>
    <xf numFmtId="0" fontId="0" fillId="0" borderId="28" xfId="0" applyBorder="1" applyAlignment="1">
      <alignment wrapText="1"/>
    </xf>
    <xf numFmtId="0" fontId="4" fillId="2" borderId="0" xfId="0" applyFont="1" applyFill="1"/>
    <xf numFmtId="0" fontId="0" fillId="2" borderId="0" xfId="0" applyFill="1" applyBorder="1" applyAlignment="1">
      <alignment wrapText="1"/>
    </xf>
    <xf numFmtId="0" fontId="0" fillId="3" borderId="29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0" fillId="0" borderId="10" xfId="0" applyFill="1" applyBorder="1" applyAlignment="1">
      <alignment wrapText="1"/>
    </xf>
    <xf numFmtId="0" fontId="0" fillId="0" borderId="20" xfId="0" applyFill="1" applyBorder="1" applyAlignment="1">
      <alignment wrapText="1"/>
    </xf>
    <xf numFmtId="0" fontId="0" fillId="0" borderId="30" xfId="0" applyFill="1" applyBorder="1" applyAlignment="1">
      <alignment wrapText="1"/>
    </xf>
    <xf numFmtId="0" fontId="5" fillId="0" borderId="17" xfId="0" applyFont="1" applyBorder="1" applyAlignment="1">
      <alignment wrapText="1"/>
    </xf>
    <xf numFmtId="0" fontId="0" fillId="0" borderId="18" xfId="0" applyFill="1" applyBorder="1" applyAlignment="1">
      <alignment wrapText="1"/>
    </xf>
    <xf numFmtId="0" fontId="0" fillId="0" borderId="8" xfId="0" applyFill="1" applyBorder="1" applyAlignment="1">
      <alignment wrapText="1"/>
    </xf>
    <xf numFmtId="0" fontId="0" fillId="0" borderId="19" xfId="0" applyFill="1" applyBorder="1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33" xfId="1" applyFont="1" applyFill="1" applyBorder="1" applyAlignment="1">
      <alignment horizontal="left" wrapText="1"/>
    </xf>
    <xf numFmtId="0" fontId="8" fillId="0" borderId="0" xfId="1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3" fillId="0" borderId="10" xfId="0" applyFont="1" applyFill="1" applyBorder="1" applyAlignment="1">
      <alignment horizontal="left"/>
    </xf>
    <xf numFmtId="0" fontId="3" fillId="0" borderId="19" xfId="0" applyFont="1" applyFill="1" applyBorder="1" applyAlignment="1">
      <alignment horizontal="left"/>
    </xf>
    <xf numFmtId="0" fontId="3" fillId="0" borderId="13" xfId="0" applyFont="1" applyFill="1" applyBorder="1" applyAlignment="1">
      <alignment horizontal="left"/>
    </xf>
    <xf numFmtId="0" fontId="6" fillId="0" borderId="3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/>
    <xf numFmtId="0" fontId="0" fillId="4" borderId="0" xfId="0" applyFill="1"/>
    <xf numFmtId="0" fontId="0" fillId="0" borderId="31" xfId="0" applyBorder="1"/>
    <xf numFmtId="0" fontId="0" fillId="4" borderId="21" xfId="0" applyFill="1" applyBorder="1"/>
    <xf numFmtId="0" fontId="0" fillId="0" borderId="32" xfId="0" applyBorder="1"/>
    <xf numFmtId="0" fontId="0" fillId="5" borderId="0" xfId="0" applyFill="1"/>
    <xf numFmtId="0" fontId="0" fillId="0" borderId="33" xfId="0" applyBorder="1" applyAlignment="1">
      <alignment wrapText="1"/>
    </xf>
    <xf numFmtId="0" fontId="0" fillId="4" borderId="0" xfId="0" applyFill="1" applyBorder="1"/>
    <xf numFmtId="0" fontId="0" fillId="0" borderId="10" xfId="0" applyBorder="1"/>
    <xf numFmtId="0" fontId="0" fillId="6" borderId="0" xfId="0" applyFill="1"/>
    <xf numFmtId="0" fontId="0" fillId="0" borderId="33" xfId="0" applyBorder="1"/>
    <xf numFmtId="0" fontId="0" fillId="5" borderId="0" xfId="0" applyFill="1" applyBorder="1"/>
    <xf numFmtId="0" fontId="0" fillId="0" borderId="34" xfId="0" applyFill="1" applyBorder="1" applyAlignment="1">
      <alignment wrapText="1"/>
    </xf>
    <xf numFmtId="0" fontId="0" fillId="5" borderId="19" xfId="0" applyFill="1" applyBorder="1"/>
    <xf numFmtId="0" fontId="0" fillId="0" borderId="13" xfId="0" applyBorder="1"/>
    <xf numFmtId="0" fontId="0" fillId="6" borderId="19" xfId="0" applyFill="1" applyBorder="1"/>
    <xf numFmtId="0" fontId="2" fillId="0" borderId="13" xfId="0" applyFont="1" applyFill="1" applyBorder="1"/>
    <xf numFmtId="0" fontId="0" fillId="0" borderId="0" xfId="0" applyFill="1" applyBorder="1"/>
    <xf numFmtId="0" fontId="0" fillId="0" borderId="31" xfId="0" applyFill="1" applyBorder="1" applyAlignment="1">
      <alignment wrapText="1"/>
    </xf>
    <xf numFmtId="0" fontId="0" fillId="0" borderId="21" xfId="0" applyFill="1" applyBorder="1" applyAlignment="1">
      <alignment wrapText="1"/>
    </xf>
    <xf numFmtId="0" fontId="0" fillId="6" borderId="21" xfId="0" applyFill="1" applyBorder="1"/>
    <xf numFmtId="0" fontId="0" fillId="0" borderId="0" xfId="0" applyFill="1" applyBorder="1" applyAlignment="1">
      <alignment wrapText="1"/>
    </xf>
    <xf numFmtId="0" fontId="0" fillId="6" borderId="0" xfId="0" applyFill="1" applyBorder="1"/>
    <xf numFmtId="0" fontId="0" fillId="0" borderId="35" xfId="0" applyFill="1" applyBorder="1" applyAlignment="1">
      <alignment wrapText="1"/>
    </xf>
    <xf numFmtId="0" fontId="0" fillId="0" borderId="36" xfId="0" applyFill="1" applyBorder="1" applyAlignment="1">
      <alignment wrapText="1"/>
    </xf>
    <xf numFmtId="0" fontId="0" fillId="4" borderId="36" xfId="0" applyFill="1" applyBorder="1"/>
    <xf numFmtId="0" fontId="0" fillId="0" borderId="36" xfId="0" applyBorder="1"/>
    <xf numFmtId="0" fontId="0" fillId="6" borderId="36" xfId="0" applyFill="1" applyBorder="1"/>
    <xf numFmtId="0" fontId="0" fillId="0" borderId="0" xfId="0" applyFill="1"/>
    <xf numFmtId="0" fontId="0" fillId="0" borderId="35" xfId="0" applyBorder="1"/>
    <xf numFmtId="0" fontId="5" fillId="0" borderId="33" xfId="0" applyFont="1" applyBorder="1"/>
    <xf numFmtId="0" fontId="2" fillId="0" borderId="10" xfId="0" applyFont="1" applyFill="1" applyBorder="1"/>
    <xf numFmtId="0" fontId="2" fillId="0" borderId="0" xfId="0" applyFont="1" applyFill="1" applyBorder="1"/>
    <xf numFmtId="0" fontId="5" fillId="4" borderId="0" xfId="0" applyFont="1" applyFill="1" applyBorder="1"/>
    <xf numFmtId="0" fontId="0" fillId="0" borderId="33" xfId="0" applyFill="1" applyBorder="1"/>
    <xf numFmtId="0" fontId="5" fillId="5" borderId="0" xfId="0" applyFont="1" applyFill="1" applyBorder="1"/>
    <xf numFmtId="0" fontId="0" fillId="0" borderId="34" xfId="0" applyFill="1" applyBorder="1"/>
    <xf numFmtId="0" fontId="0" fillId="0" borderId="19" xfId="0" applyFill="1" applyBorder="1"/>
    <xf numFmtId="0" fontId="5" fillId="4" borderId="19" xfId="0" applyFont="1" applyFill="1" applyBorder="1"/>
    <xf numFmtId="0" fontId="5" fillId="6" borderId="21" xfId="0" applyFont="1" applyFill="1" applyBorder="1"/>
    <xf numFmtId="0" fontId="2" fillId="0" borderId="32" xfId="0" applyFont="1" applyFill="1" applyBorder="1"/>
    <xf numFmtId="0" fontId="5" fillId="6" borderId="0" xfId="0" applyFont="1" applyFill="1" applyBorder="1"/>
    <xf numFmtId="0" fontId="0" fillId="0" borderId="34" xfId="0" applyBorder="1"/>
    <xf numFmtId="0" fontId="0" fillId="0" borderId="19" xfId="0" applyBorder="1"/>
    <xf numFmtId="0" fontId="0" fillId="0" borderId="13" xfId="0" applyFill="1" applyBorder="1"/>
    <xf numFmtId="0" fontId="5" fillId="6" borderId="19" xfId="0" applyFont="1" applyFill="1" applyBorder="1"/>
  </cellXfs>
  <cellStyles count="2">
    <cellStyle name="Hyperlink" xfId="1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155207</xdr:colOff>
      <xdr:row>7</xdr:row>
      <xdr:rowOff>121447</xdr:rowOff>
    </xdr:from>
    <xdr:to>
      <xdr:col>23</xdr:col>
      <xdr:colOff>478051</xdr:colOff>
      <xdr:row>10</xdr:row>
      <xdr:rowOff>479321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6EFAC-D9B8-444F-B3A6-228438790E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949" b="1"/>
        <a:stretch/>
      </xdr:blipFill>
      <xdr:spPr>
        <a:xfrm>
          <a:off x="15757157" y="2321722"/>
          <a:ext cx="6418844" cy="3139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76200</xdr:rowOff>
    </xdr:from>
    <xdr:to>
      <xdr:col>0</xdr:col>
      <xdr:colOff>1949450</xdr:colOff>
      <xdr:row>17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78CD78-2161-4655-A72F-9A6367EA0503}"/>
            </a:ext>
          </a:extLst>
        </xdr:cNvPr>
        <xdr:cNvSpPr txBox="1"/>
      </xdr:nvSpPr>
      <xdr:spPr>
        <a:xfrm>
          <a:off x="0" y="1073150"/>
          <a:ext cx="1949450" cy="351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Recommendations</a:t>
          </a:r>
        </a:p>
        <a:p>
          <a:r>
            <a:rPr lang="en-US" sz="1100" b="0" u="none" baseline="0"/>
            <a:t>In order to stay withing the target bootstrap ripple, select a low variance capcitor, such as X7R, sized in order to meet the recommended size after derating</a:t>
          </a:r>
        </a:p>
        <a:p>
          <a:endParaRPr lang="en-US" sz="1100" b="0" u="none" baseline="0"/>
        </a:p>
        <a:p>
          <a:r>
            <a:rPr lang="en-US" sz="1100" b="0" u="none" baseline="0"/>
            <a:t>Bootstrap resistance is only necessary when using an external bootstrap diode. Select fast recovery diode rated higher than max bootstrap voltage</a:t>
          </a:r>
        </a:p>
        <a:p>
          <a:endParaRPr lang="en-US" sz="1100" b="0" u="none" baseline="0"/>
        </a:p>
        <a:p>
          <a:r>
            <a:rPr lang="en-US" sz="1100" b="0" u="none" baseline="0"/>
            <a:t>A VDD to VSS bypass capacitor at least 10x the size of the bootstrap capacitor should be placed as close as possible to the VDD pin</a:t>
          </a:r>
          <a:endParaRPr lang="en-US" sz="1100" b="1" u="sng"/>
        </a:p>
      </xdr:txBody>
    </xdr:sp>
    <xdr:clientData/>
  </xdr:twoCellAnchor>
  <xdr:twoCellAnchor editAs="oneCell">
    <xdr:from>
      <xdr:col>6</xdr:col>
      <xdr:colOff>69850</xdr:colOff>
      <xdr:row>13</xdr:row>
      <xdr:rowOff>6350</xdr:rowOff>
    </xdr:from>
    <xdr:to>
      <xdr:col>7</xdr:col>
      <xdr:colOff>238416</xdr:colOff>
      <xdr:row>15</xdr:row>
      <xdr:rowOff>73114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098559-85A9-4E08-B76A-673DDF68B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4850" y="3479800"/>
          <a:ext cx="2086266" cy="638264"/>
        </a:xfrm>
        <a:prstGeom prst="rect">
          <a:avLst/>
        </a:prstGeom>
      </xdr:spPr>
    </xdr:pic>
    <xdr:clientData/>
  </xdr:twoCellAnchor>
  <xdr:twoCellAnchor editAs="oneCell">
    <xdr:from>
      <xdr:col>6</xdr:col>
      <xdr:colOff>82550</xdr:colOff>
      <xdr:row>10</xdr:row>
      <xdr:rowOff>12700</xdr:rowOff>
    </xdr:from>
    <xdr:to>
      <xdr:col>11</xdr:col>
      <xdr:colOff>64021</xdr:colOff>
      <xdr:row>11</xdr:row>
      <xdr:rowOff>358853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D98070-2064-4D8A-8B9B-7F6F01DCE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7550" y="2622550"/>
          <a:ext cx="3734321" cy="562053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8</xdr:col>
      <xdr:colOff>260698</xdr:colOff>
      <xdr:row>8</xdr:row>
      <xdr:rowOff>114345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C9701A8-E701-4663-BD89-86B7B7B47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00" y="1974850"/>
          <a:ext cx="2495898" cy="323895"/>
        </a:xfrm>
        <a:prstGeom prst="rect">
          <a:avLst/>
        </a:prstGeom>
      </xdr:spPr>
    </xdr:pic>
    <xdr:clientData/>
  </xdr:twoCellAnchor>
  <xdr:twoCellAnchor editAs="oneCell">
    <xdr:from>
      <xdr:col>10</xdr:col>
      <xdr:colOff>590550</xdr:colOff>
      <xdr:row>2</xdr:row>
      <xdr:rowOff>25400</xdr:rowOff>
    </xdr:from>
    <xdr:to>
      <xdr:col>12</xdr:col>
      <xdr:colOff>362224</xdr:colOff>
      <xdr:row>4</xdr:row>
      <xdr:rowOff>228712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CA038B-FA3B-436C-B66B-E9FB75C4E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48800" y="425450"/>
          <a:ext cx="1962424" cy="8002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4</xdr:row>
      <xdr:rowOff>63500</xdr:rowOff>
    </xdr:from>
    <xdr:to>
      <xdr:col>0</xdr:col>
      <xdr:colOff>2019300</xdr:colOff>
      <xdr:row>15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5F6A14-FFB1-4BEF-A224-FB326F6242F8}"/>
            </a:ext>
          </a:extLst>
        </xdr:cNvPr>
        <xdr:cNvSpPr txBox="1"/>
      </xdr:nvSpPr>
      <xdr:spPr>
        <a:xfrm>
          <a:off x="63500" y="882650"/>
          <a:ext cx="1955800" cy="238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Recommendations</a:t>
          </a:r>
        </a:p>
        <a:p>
          <a:r>
            <a:rPr lang="en-US" sz="1100" b="0" u="none" baseline="0"/>
            <a:t>Driver power dissipation is estimeated as </a:t>
          </a:r>
        </a:p>
        <a:p>
          <a:endParaRPr lang="en-US" sz="1100" b="0" u="none" baseline="0"/>
        </a:p>
        <a:p>
          <a:r>
            <a:rPr lang="en-US" sz="1100" b="0" u="none" baseline="0"/>
            <a:t>Temperature increase estimate is based on the datasheet thermal resistance. This is to give a simple estimate as actual thermal resistances will depend on the board layout.</a:t>
          </a:r>
          <a:endParaRPr lang="en-US" sz="1100" b="1" u="none"/>
        </a:p>
      </xdr:txBody>
    </xdr:sp>
    <xdr:clientData/>
  </xdr:twoCellAnchor>
  <xdr:twoCellAnchor editAs="oneCell">
    <xdr:from>
      <xdr:col>6</xdr:col>
      <xdr:colOff>127000</xdr:colOff>
      <xdr:row>8</xdr:row>
      <xdr:rowOff>82550</xdr:rowOff>
    </xdr:from>
    <xdr:to>
      <xdr:col>10</xdr:col>
      <xdr:colOff>1226122</xdr:colOff>
      <xdr:row>9</xdr:row>
      <xdr:rowOff>158790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A40F0-C85A-4231-B6CA-70471C96D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500" y="1739900"/>
          <a:ext cx="4096322" cy="28579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11</xdr:row>
      <xdr:rowOff>57150</xdr:rowOff>
    </xdr:from>
    <xdr:to>
      <xdr:col>7</xdr:col>
      <xdr:colOff>317500</xdr:colOff>
      <xdr:row>12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EC4B17-BB4E-4CCD-AD94-23FBC2773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8255" b="14"/>
        <a:stretch/>
      </xdr:blipFill>
      <xdr:spPr>
        <a:xfrm>
          <a:off x="5765800" y="2343150"/>
          <a:ext cx="2362200" cy="2857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</xdr:row>
      <xdr:rowOff>101600</xdr:rowOff>
    </xdr:from>
    <xdr:to>
      <xdr:col>12</xdr:col>
      <xdr:colOff>48336</xdr:colOff>
      <xdr:row>6</xdr:row>
      <xdr:rowOff>44530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C9A50D-640B-41F4-8C88-F61C24D1E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46750" y="711200"/>
          <a:ext cx="5096586" cy="571580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14</xdr:row>
      <xdr:rowOff>12700</xdr:rowOff>
    </xdr:from>
    <xdr:to>
      <xdr:col>10</xdr:col>
      <xdr:colOff>213154</xdr:colOff>
      <xdr:row>15</xdr:row>
      <xdr:rowOff>174677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1BF2EC-3C27-4021-AC58-628B87D07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84850" y="2901950"/>
          <a:ext cx="3077004" cy="3715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4</xdr:row>
      <xdr:rowOff>120650</xdr:rowOff>
    </xdr:from>
    <xdr:to>
      <xdr:col>0</xdr:col>
      <xdr:colOff>1828800</xdr:colOff>
      <xdr:row>9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327B62-C812-4C3A-BABB-6073A9172177}"/>
            </a:ext>
          </a:extLst>
        </xdr:cNvPr>
        <xdr:cNvSpPr txBox="1"/>
      </xdr:nvSpPr>
      <xdr:spPr>
        <a:xfrm>
          <a:off x="152400" y="939800"/>
          <a:ext cx="1676400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Recommendations</a:t>
          </a:r>
          <a:endParaRPr lang="en-US" sz="1100" b="0" u="none"/>
        </a:p>
        <a:p>
          <a:r>
            <a:rPr lang="en-US" sz="1100" b="0" u="none" baseline="0"/>
            <a:t>The switching time calculated on this page is an only estimate intended to aid in system design. </a:t>
          </a:r>
          <a:endParaRPr lang="en-US" sz="1100" b="1" u="sng"/>
        </a:p>
      </xdr:txBody>
    </xdr:sp>
    <xdr:clientData/>
  </xdr:twoCellAnchor>
  <xdr:twoCellAnchor editAs="oneCell">
    <xdr:from>
      <xdr:col>6</xdr:col>
      <xdr:colOff>57150</xdr:colOff>
      <xdr:row>4</xdr:row>
      <xdr:rowOff>51518</xdr:rowOff>
    </xdr:from>
    <xdr:to>
      <xdr:col>11</xdr:col>
      <xdr:colOff>346710</xdr:colOff>
      <xdr:row>7</xdr:row>
      <xdr:rowOff>165219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69DF6B-CC7F-4C0D-9FEA-4A8D98021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0600" y="870668"/>
          <a:ext cx="3934460" cy="742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i.com/lit/an/slua887/slua887.pdf?ts=1655134470967&amp;ref_url=https%253A%252F%252Fwww.google.com%252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6D7D-8F4C-4EFF-9F59-C07991F9679F}">
  <dimension ref="A1:X39"/>
  <sheetViews>
    <sheetView tabSelected="1" zoomScaleNormal="100" workbookViewId="0">
      <pane ySplit="6" topLeftCell="A7" activePane="bottomLeft" state="frozen"/>
      <selection pane="bottomLeft" activeCell="A22" sqref="A22:J22"/>
    </sheetView>
  </sheetViews>
  <sheetFormatPr defaultRowHeight="14.5" x14ac:dyDescent="0.35"/>
  <cols>
    <col min="1" max="1" width="19.81640625" style="22" customWidth="1"/>
    <col min="2" max="3" width="16.81640625" style="22" customWidth="1"/>
    <col min="4" max="4" width="10.7265625" style="22" customWidth="1"/>
    <col min="5" max="5" width="27.54296875" style="23" customWidth="1"/>
    <col min="6" max="6" width="32.54296875" style="22" customWidth="1"/>
    <col min="7" max="7" width="15.08984375" style="22" customWidth="1"/>
    <col min="8" max="8" width="22.6328125" style="22" customWidth="1"/>
    <col min="9" max="9" width="11.6328125" style="23" customWidth="1"/>
    <col min="10" max="10" width="23.6328125" style="22" customWidth="1"/>
  </cols>
  <sheetData>
    <row r="1" spans="1:24" ht="26" x14ac:dyDescent="0.6">
      <c r="A1" s="41" t="s">
        <v>0</v>
      </c>
      <c r="B1" s="35"/>
      <c r="C1" s="35"/>
      <c r="D1" s="35"/>
      <c r="E1" s="35"/>
      <c r="F1" s="42"/>
      <c r="G1" s="42"/>
      <c r="H1" s="42"/>
      <c r="I1" s="42"/>
      <c r="J1" s="42"/>
    </row>
    <row r="2" spans="1:24" ht="21" x14ac:dyDescent="0.5">
      <c r="A2" s="60" t="s">
        <v>12</v>
      </c>
      <c r="B2" s="60"/>
      <c r="C2" s="60"/>
      <c r="D2" s="60"/>
      <c r="E2" s="60"/>
      <c r="F2" s="60"/>
      <c r="G2" s="60"/>
      <c r="H2" s="60"/>
      <c r="I2" s="60"/>
      <c r="J2" s="61"/>
    </row>
    <row r="3" spans="1:24" ht="21" customHeight="1" thickBot="1" x14ac:dyDescent="0.55000000000000004">
      <c r="A3" s="62" t="s">
        <v>68</v>
      </c>
      <c r="B3" s="62"/>
      <c r="C3" s="62"/>
      <c r="D3" s="62"/>
      <c r="E3" s="62"/>
      <c r="F3" s="62"/>
      <c r="G3" s="62"/>
      <c r="H3" s="62"/>
      <c r="I3" s="62"/>
      <c r="J3" s="63"/>
    </row>
    <row r="5" spans="1:24" ht="15" thickBot="1" x14ac:dyDescent="0.4"/>
    <row r="6" spans="1:24" s="1" customFormat="1" ht="32" customHeight="1" thickBot="1" x14ac:dyDescent="0.4">
      <c r="A6" s="31" t="s">
        <v>2</v>
      </c>
      <c r="B6" s="32" t="s">
        <v>3</v>
      </c>
      <c r="C6" s="32" t="s">
        <v>4</v>
      </c>
      <c r="D6" s="33" t="s">
        <v>10</v>
      </c>
      <c r="E6" s="33" t="s">
        <v>5</v>
      </c>
      <c r="F6" s="33" t="s">
        <v>6</v>
      </c>
      <c r="G6" s="32" t="s">
        <v>7</v>
      </c>
      <c r="H6" s="31" t="s">
        <v>11</v>
      </c>
      <c r="I6" s="32" t="s">
        <v>8</v>
      </c>
      <c r="J6" s="34" t="s">
        <v>9</v>
      </c>
    </row>
    <row r="7" spans="1:24" ht="58" x14ac:dyDescent="0.35">
      <c r="A7" s="55" t="s">
        <v>14</v>
      </c>
      <c r="B7" s="2" t="s">
        <v>15</v>
      </c>
      <c r="C7" s="2" t="s">
        <v>16</v>
      </c>
      <c r="D7" s="2" t="s">
        <v>17</v>
      </c>
      <c r="E7" s="2" t="s">
        <v>85</v>
      </c>
      <c r="F7" s="37" t="s">
        <v>69</v>
      </c>
      <c r="G7" s="2" t="s">
        <v>18</v>
      </c>
      <c r="H7" s="3" t="s">
        <v>19</v>
      </c>
      <c r="I7" s="4" t="s">
        <v>13</v>
      </c>
      <c r="J7" s="29"/>
      <c r="N7" s="64" t="s">
        <v>1</v>
      </c>
      <c r="O7" s="65"/>
      <c r="P7" s="65"/>
      <c r="Q7" s="65"/>
      <c r="R7" s="65"/>
      <c r="S7" s="65"/>
      <c r="T7" s="65"/>
      <c r="U7" s="65"/>
      <c r="V7" s="65"/>
      <c r="W7" s="65"/>
      <c r="X7" s="66"/>
    </row>
    <row r="8" spans="1:24" ht="72.5" x14ac:dyDescent="0.35">
      <c r="A8" s="53"/>
      <c r="B8" s="5" t="s">
        <v>20</v>
      </c>
      <c r="C8" s="6" t="s">
        <v>48</v>
      </c>
      <c r="D8" s="5" t="s">
        <v>21</v>
      </c>
      <c r="E8" s="5" t="s">
        <v>22</v>
      </c>
      <c r="F8" s="6" t="s">
        <v>86</v>
      </c>
      <c r="G8" s="5" t="s">
        <v>23</v>
      </c>
      <c r="H8" s="7" t="s">
        <v>24</v>
      </c>
      <c r="I8" s="8" t="s">
        <v>13</v>
      </c>
      <c r="J8" s="30"/>
      <c r="N8" s="67"/>
      <c r="O8" s="68"/>
      <c r="P8" s="68"/>
      <c r="Q8" s="68"/>
      <c r="R8" s="68"/>
      <c r="S8" s="68"/>
      <c r="T8" s="68"/>
      <c r="U8" s="68"/>
      <c r="V8" s="68"/>
      <c r="W8" s="68"/>
      <c r="X8" s="69"/>
    </row>
    <row r="9" spans="1:24" ht="102" thickBot="1" x14ac:dyDescent="0.4">
      <c r="A9" s="54"/>
      <c r="B9" s="10" t="s">
        <v>25</v>
      </c>
      <c r="C9" s="11" t="s">
        <v>61</v>
      </c>
      <c r="D9" s="10" t="s">
        <v>17</v>
      </c>
      <c r="E9" s="10"/>
      <c r="F9" s="25" t="s">
        <v>26</v>
      </c>
      <c r="G9" s="10" t="s">
        <v>27</v>
      </c>
      <c r="H9" s="12" t="s">
        <v>24</v>
      </c>
      <c r="I9" s="13" t="s">
        <v>13</v>
      </c>
      <c r="J9" s="14"/>
      <c r="N9" s="67"/>
      <c r="O9" s="68"/>
      <c r="P9" s="68"/>
      <c r="Q9" s="68"/>
      <c r="R9" s="68"/>
      <c r="S9" s="68"/>
      <c r="T9" s="68"/>
      <c r="U9" s="68"/>
      <c r="V9" s="68"/>
      <c r="W9" s="68"/>
      <c r="X9" s="69"/>
    </row>
    <row r="10" spans="1:24" ht="44" thickBot="1" x14ac:dyDescent="0.4">
      <c r="A10" s="55" t="s">
        <v>28</v>
      </c>
      <c r="B10" s="2" t="s">
        <v>70</v>
      </c>
      <c r="C10" s="2" t="s">
        <v>62</v>
      </c>
      <c r="D10" s="2" t="s">
        <v>17</v>
      </c>
      <c r="E10" s="15" t="s">
        <v>74</v>
      </c>
      <c r="F10" s="37" t="s">
        <v>81</v>
      </c>
      <c r="G10" s="2" t="s">
        <v>29</v>
      </c>
      <c r="H10" s="45" t="s">
        <v>76</v>
      </c>
      <c r="I10" s="16" t="s">
        <v>13</v>
      </c>
      <c r="J10" s="29"/>
      <c r="N10" s="67"/>
      <c r="O10" s="68"/>
      <c r="P10" s="68"/>
      <c r="Q10" s="68"/>
      <c r="R10" s="68"/>
      <c r="S10" s="68"/>
      <c r="T10" s="68"/>
      <c r="U10" s="68"/>
      <c r="V10" s="68"/>
      <c r="W10" s="68"/>
      <c r="X10" s="69"/>
    </row>
    <row r="11" spans="1:24" ht="43.5" customHeight="1" x14ac:dyDescent="0.35">
      <c r="A11" s="53"/>
      <c r="B11" s="38" t="s">
        <v>71</v>
      </c>
      <c r="C11" s="38" t="s">
        <v>30</v>
      </c>
      <c r="D11" s="38" t="s">
        <v>17</v>
      </c>
      <c r="E11" s="39" t="s">
        <v>63</v>
      </c>
      <c r="F11" s="43" t="s">
        <v>69</v>
      </c>
      <c r="G11" s="38" t="s">
        <v>29</v>
      </c>
      <c r="H11" s="46" t="s">
        <v>76</v>
      </c>
      <c r="I11" s="16" t="s">
        <v>13</v>
      </c>
      <c r="J11" s="40"/>
      <c r="N11" s="67"/>
      <c r="O11" s="68"/>
      <c r="P11" s="68"/>
      <c r="Q11" s="68"/>
      <c r="R11" s="68"/>
      <c r="S11" s="68"/>
      <c r="T11" s="68"/>
      <c r="U11" s="68"/>
      <c r="V11" s="68"/>
      <c r="W11" s="68"/>
      <c r="X11" s="69"/>
    </row>
    <row r="12" spans="1:24" ht="47" customHeight="1" thickBot="1" x14ac:dyDescent="0.4">
      <c r="A12" s="54"/>
      <c r="B12" s="11" t="s">
        <v>72</v>
      </c>
      <c r="C12" s="11" t="s">
        <v>73</v>
      </c>
      <c r="D12" s="11" t="s">
        <v>17</v>
      </c>
      <c r="E12" s="25" t="s">
        <v>82</v>
      </c>
      <c r="F12" s="44" t="s">
        <v>75</v>
      </c>
      <c r="G12" s="11"/>
      <c r="H12" s="47" t="s">
        <v>79</v>
      </c>
      <c r="I12" s="13" t="s">
        <v>13</v>
      </c>
      <c r="J12" s="14"/>
      <c r="N12" s="70"/>
      <c r="O12" s="71"/>
      <c r="P12" s="71"/>
      <c r="Q12" s="71"/>
      <c r="R12" s="71"/>
      <c r="S12" s="71"/>
      <c r="T12" s="71"/>
      <c r="U12" s="71"/>
      <c r="V12" s="71"/>
      <c r="W12" s="71"/>
      <c r="X12" s="72"/>
    </row>
    <row r="13" spans="1:24" ht="74" customHeight="1" x14ac:dyDescent="0.35">
      <c r="A13" s="56" t="s">
        <v>47</v>
      </c>
      <c r="B13" s="2" t="s">
        <v>49</v>
      </c>
      <c r="C13" s="15" t="s">
        <v>50</v>
      </c>
      <c r="D13" s="2" t="s">
        <v>67</v>
      </c>
      <c r="E13" s="28" t="s">
        <v>55</v>
      </c>
      <c r="F13" s="15" t="s">
        <v>56</v>
      </c>
      <c r="G13" s="28" t="s">
        <v>53</v>
      </c>
      <c r="H13" s="7" t="s">
        <v>83</v>
      </c>
      <c r="I13" s="8" t="s">
        <v>13</v>
      </c>
      <c r="J13" s="2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4" spans="1:24" ht="78" customHeight="1" thickBot="1" x14ac:dyDescent="0.4">
      <c r="A14" s="57"/>
      <c r="B14" s="11" t="s">
        <v>52</v>
      </c>
      <c r="C14" s="25" t="s">
        <v>51</v>
      </c>
      <c r="D14" s="25" t="s">
        <v>67</v>
      </c>
      <c r="E14" s="24" t="s">
        <v>55</v>
      </c>
      <c r="F14" s="25" t="s">
        <v>56</v>
      </c>
      <c r="G14" s="24" t="s">
        <v>54</v>
      </c>
      <c r="H14" s="20" t="s">
        <v>84</v>
      </c>
      <c r="I14" s="13" t="s">
        <v>13</v>
      </c>
      <c r="J14" s="27"/>
      <c r="N14" s="36"/>
      <c r="O14" s="36"/>
      <c r="P14" s="36"/>
      <c r="Q14" s="36"/>
      <c r="R14" s="36"/>
      <c r="S14" s="36"/>
      <c r="T14" s="36"/>
      <c r="U14" s="36"/>
      <c r="V14" s="36"/>
    </row>
    <row r="15" spans="1:24" ht="72.5" x14ac:dyDescent="0.35">
      <c r="A15" s="53" t="s">
        <v>31</v>
      </c>
      <c r="B15" s="19" t="s">
        <v>32</v>
      </c>
      <c r="C15" s="19" t="s">
        <v>33</v>
      </c>
      <c r="D15" s="19" t="s">
        <v>21</v>
      </c>
      <c r="E15" s="48" t="s">
        <v>34</v>
      </c>
      <c r="F15" s="49" t="s">
        <v>80</v>
      </c>
      <c r="G15" s="19" t="s">
        <v>35</v>
      </c>
      <c r="H15" s="16" t="s">
        <v>36</v>
      </c>
      <c r="I15" s="16" t="s">
        <v>13</v>
      </c>
      <c r="J15" s="9"/>
      <c r="N15" s="36"/>
      <c r="O15" s="36"/>
      <c r="P15" s="36"/>
      <c r="Q15" s="36"/>
      <c r="R15" s="36"/>
      <c r="S15" s="36"/>
      <c r="T15" s="36"/>
      <c r="U15" s="36"/>
      <c r="V15" s="36"/>
    </row>
    <row r="16" spans="1:24" ht="29" x14ac:dyDescent="0.35">
      <c r="A16" s="53"/>
      <c r="B16" s="6" t="s">
        <v>37</v>
      </c>
      <c r="C16" s="6" t="s">
        <v>33</v>
      </c>
      <c r="D16" s="6" t="s">
        <v>21</v>
      </c>
      <c r="E16" s="50" t="s">
        <v>38</v>
      </c>
      <c r="F16" s="6"/>
      <c r="G16" s="6" t="s">
        <v>39</v>
      </c>
      <c r="H16" s="51" t="s">
        <v>77</v>
      </c>
      <c r="I16" s="7" t="s">
        <v>13</v>
      </c>
      <c r="J16" s="30"/>
      <c r="N16" s="36"/>
      <c r="O16" s="36"/>
      <c r="P16" s="36"/>
      <c r="Q16" s="36"/>
      <c r="R16" s="36"/>
      <c r="S16" s="36"/>
      <c r="T16" s="36"/>
      <c r="U16" s="36"/>
      <c r="V16" s="36"/>
    </row>
    <row r="17" spans="1:22" x14ac:dyDescent="0.35">
      <c r="A17" s="53"/>
      <c r="B17" s="6" t="s">
        <v>40</v>
      </c>
      <c r="C17" s="6" t="s">
        <v>33</v>
      </c>
      <c r="D17" s="6" t="s">
        <v>21</v>
      </c>
      <c r="E17" s="50" t="s">
        <v>34</v>
      </c>
      <c r="F17" s="6"/>
      <c r="G17" s="6" t="s">
        <v>41</v>
      </c>
      <c r="H17" s="7" t="s">
        <v>42</v>
      </c>
      <c r="I17" s="7" t="s">
        <v>13</v>
      </c>
      <c r="J17" s="9"/>
      <c r="N17" s="36"/>
      <c r="O17" s="36"/>
      <c r="P17" s="36"/>
      <c r="Q17" s="36"/>
      <c r="R17" s="36"/>
      <c r="S17" s="36"/>
      <c r="T17" s="36"/>
      <c r="U17" s="36"/>
      <c r="V17" s="36"/>
    </row>
    <row r="18" spans="1:22" ht="29.5" thickBot="1" x14ac:dyDescent="0.4">
      <c r="A18" s="54"/>
      <c r="B18" s="17" t="s">
        <v>43</v>
      </c>
      <c r="C18" s="11" t="s">
        <v>33</v>
      </c>
      <c r="D18" s="17" t="s">
        <v>21</v>
      </c>
      <c r="E18" s="52" t="s">
        <v>38</v>
      </c>
      <c r="F18" s="17"/>
      <c r="G18" s="17" t="s">
        <v>44</v>
      </c>
      <c r="H18" s="47" t="s">
        <v>78</v>
      </c>
      <c r="I18" s="13" t="s">
        <v>13</v>
      </c>
      <c r="J18" s="14"/>
      <c r="N18" s="36"/>
      <c r="O18" s="36"/>
      <c r="P18" s="36"/>
      <c r="Q18" s="36"/>
      <c r="R18" s="36"/>
      <c r="S18" s="36"/>
      <c r="T18" s="36"/>
      <c r="U18" s="36"/>
      <c r="V18" s="36"/>
    </row>
    <row r="19" spans="1:22" ht="58" x14ac:dyDescent="0.35">
      <c r="A19" s="55" t="s">
        <v>45</v>
      </c>
      <c r="B19" s="2" t="s">
        <v>59</v>
      </c>
      <c r="C19" s="2" t="s">
        <v>64</v>
      </c>
      <c r="D19" s="2" t="s">
        <v>21</v>
      </c>
      <c r="E19" s="15" t="s">
        <v>46</v>
      </c>
      <c r="F19" s="2"/>
      <c r="G19" s="2" t="s">
        <v>57</v>
      </c>
      <c r="H19" s="16" t="s">
        <v>65</v>
      </c>
      <c r="I19" s="9" t="s">
        <v>13</v>
      </c>
      <c r="J19" s="29"/>
      <c r="N19" s="36"/>
      <c r="O19" s="36"/>
      <c r="P19" s="36"/>
      <c r="Q19" s="36"/>
      <c r="R19" s="36"/>
      <c r="S19" s="36"/>
      <c r="T19" s="36"/>
      <c r="U19" s="36"/>
      <c r="V19" s="36"/>
    </row>
    <row r="20" spans="1:22" ht="58.5" thickBot="1" x14ac:dyDescent="0.4">
      <c r="A20" s="54"/>
      <c r="B20" s="17" t="s">
        <v>60</v>
      </c>
      <c r="C20" s="17" t="s">
        <v>64</v>
      </c>
      <c r="D20" s="17" t="s">
        <v>21</v>
      </c>
      <c r="E20" s="18" t="s">
        <v>46</v>
      </c>
      <c r="F20" s="17"/>
      <c r="G20" s="17" t="s">
        <v>58</v>
      </c>
      <c r="H20" s="9" t="s">
        <v>66</v>
      </c>
      <c r="I20" s="8" t="s">
        <v>13</v>
      </c>
      <c r="J20" s="9"/>
      <c r="N20" s="36"/>
      <c r="O20" s="36"/>
      <c r="P20" s="36"/>
      <c r="Q20" s="36"/>
      <c r="R20" s="36"/>
      <c r="S20" s="36"/>
      <c r="T20" s="36"/>
      <c r="U20" s="36"/>
      <c r="V20" s="36"/>
    </row>
    <row r="21" spans="1:22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N21" s="36"/>
      <c r="O21" s="36"/>
      <c r="P21" s="36"/>
      <c r="Q21" s="36"/>
      <c r="R21" s="36"/>
      <c r="S21" s="36"/>
      <c r="T21" s="36"/>
      <c r="U21" s="36"/>
      <c r="V21" s="36"/>
    </row>
    <row r="22" spans="1:22" ht="18.5" x14ac:dyDescent="0.45">
      <c r="A22" s="58" t="s">
        <v>87</v>
      </c>
      <c r="B22" s="59"/>
      <c r="C22" s="59"/>
      <c r="D22" s="59"/>
      <c r="E22" s="59"/>
      <c r="F22" s="59"/>
      <c r="G22" s="59"/>
      <c r="H22" s="59"/>
      <c r="I22" s="59"/>
      <c r="J22" s="59"/>
      <c r="N22" s="36"/>
      <c r="O22" s="36"/>
      <c r="P22" s="36"/>
      <c r="Q22" s="36"/>
      <c r="R22" s="36"/>
      <c r="S22" s="36"/>
      <c r="T22" s="36"/>
      <c r="U22" s="36"/>
      <c r="V22" s="36"/>
    </row>
    <row r="23" spans="1:22" s="22" customFormat="1" x14ac:dyDescent="0.35">
      <c r="K23"/>
      <c r="L23"/>
      <c r="M23"/>
      <c r="N23" s="36"/>
      <c r="O23" s="36"/>
      <c r="P23" s="36"/>
      <c r="Q23" s="36"/>
      <c r="R23" s="36"/>
      <c r="S23" s="36"/>
      <c r="T23" s="36"/>
      <c r="U23" s="36"/>
      <c r="V23" s="36"/>
    </row>
    <row r="24" spans="1:22" s="22" customFormat="1" x14ac:dyDescent="0.35">
      <c r="K24"/>
      <c r="L24"/>
      <c r="M24"/>
      <c r="N24" s="36"/>
      <c r="O24" s="36"/>
      <c r="P24" s="36"/>
      <c r="Q24" s="36"/>
      <c r="R24" s="36"/>
      <c r="S24" s="36"/>
      <c r="T24" s="36"/>
      <c r="U24" s="36"/>
      <c r="V24" s="36"/>
    </row>
    <row r="25" spans="1:22" s="22" customFormat="1" x14ac:dyDescent="0.35">
      <c r="K25"/>
      <c r="L25"/>
      <c r="M25"/>
      <c r="N25" s="36"/>
      <c r="O25" s="36"/>
      <c r="P25" s="36"/>
      <c r="Q25" s="36"/>
      <c r="R25" s="36"/>
      <c r="S25" s="36"/>
      <c r="T25" s="36"/>
      <c r="U25" s="36"/>
      <c r="V25" s="36"/>
    </row>
    <row r="26" spans="1:22" s="22" customFormat="1" x14ac:dyDescent="0.35">
      <c r="K26"/>
      <c r="L26"/>
      <c r="M26"/>
      <c r="N26" s="36"/>
      <c r="O26" s="36"/>
      <c r="P26" s="36"/>
      <c r="Q26" s="36"/>
      <c r="R26" s="36"/>
      <c r="S26" s="36"/>
      <c r="T26" s="36"/>
      <c r="U26" s="36"/>
      <c r="V26" s="36"/>
    </row>
    <row r="27" spans="1:22" s="22" customFormat="1" x14ac:dyDescent="0.35">
      <c r="K27"/>
      <c r="L27"/>
      <c r="M27"/>
      <c r="N27" s="36"/>
      <c r="O27" s="36"/>
      <c r="P27" s="36"/>
      <c r="Q27" s="36"/>
      <c r="R27" s="36"/>
      <c r="S27" s="36"/>
      <c r="T27" s="36"/>
      <c r="U27" s="36"/>
      <c r="V27" s="36"/>
    </row>
    <row r="28" spans="1:22" s="22" customFormat="1" x14ac:dyDescent="0.35">
      <c r="K28"/>
      <c r="L28"/>
      <c r="M28"/>
      <c r="N28" s="36"/>
      <c r="O28" s="36"/>
      <c r="P28" s="36"/>
      <c r="Q28" s="36"/>
      <c r="R28" s="36"/>
      <c r="S28" s="36"/>
      <c r="T28" s="36"/>
      <c r="U28" s="36"/>
      <c r="V28" s="36"/>
    </row>
    <row r="29" spans="1:22" s="22" customFormat="1" x14ac:dyDescent="0.35">
      <c r="K29"/>
      <c r="L29"/>
      <c r="M29"/>
      <c r="N29" s="36"/>
      <c r="O29" s="36"/>
      <c r="P29" s="36"/>
      <c r="Q29" s="36"/>
      <c r="R29" s="36"/>
      <c r="S29" s="36"/>
      <c r="T29" s="36"/>
      <c r="U29" s="36"/>
      <c r="V29" s="36"/>
    </row>
    <row r="30" spans="1:22" s="22" customFormat="1" x14ac:dyDescent="0.35">
      <c r="K30"/>
      <c r="L30"/>
      <c r="M30"/>
      <c r="N30"/>
    </row>
    <row r="31" spans="1:22" s="22" customFormat="1" x14ac:dyDescent="0.35">
      <c r="K31"/>
      <c r="L31"/>
      <c r="M31"/>
      <c r="N31"/>
    </row>
    <row r="32" spans="1:22" s="22" customFormat="1" x14ac:dyDescent="0.35">
      <c r="K32"/>
      <c r="L32"/>
      <c r="M32"/>
      <c r="N32"/>
    </row>
    <row r="33" spans="5:14" s="22" customFormat="1" x14ac:dyDescent="0.35">
      <c r="K33"/>
      <c r="L33"/>
      <c r="M33"/>
      <c r="N33"/>
    </row>
    <row r="34" spans="5:14" s="22" customFormat="1" x14ac:dyDescent="0.35">
      <c r="K34"/>
      <c r="L34"/>
      <c r="M34"/>
      <c r="N34"/>
    </row>
    <row r="35" spans="5:14" s="22" customFormat="1" x14ac:dyDescent="0.35">
      <c r="K35"/>
      <c r="L35"/>
      <c r="M35"/>
      <c r="N35"/>
    </row>
    <row r="36" spans="5:14" s="22" customFormat="1" x14ac:dyDescent="0.35">
      <c r="K36"/>
      <c r="L36"/>
      <c r="M36"/>
      <c r="N36"/>
    </row>
    <row r="37" spans="5:14" s="22" customFormat="1" x14ac:dyDescent="0.35">
      <c r="K37"/>
      <c r="L37"/>
      <c r="M37"/>
      <c r="N37"/>
    </row>
    <row r="39" spans="5:14" s="22" customFormat="1" x14ac:dyDescent="0.35">
      <c r="E39" s="23"/>
      <c r="I39" s="23"/>
      <c r="K39"/>
      <c r="L39"/>
      <c r="M39"/>
      <c r="N39"/>
    </row>
  </sheetData>
  <mergeCells count="10">
    <mergeCell ref="N7:X7"/>
    <mergeCell ref="N8:X12"/>
    <mergeCell ref="A7:A9"/>
    <mergeCell ref="A10:A12"/>
    <mergeCell ref="A15:A18"/>
    <mergeCell ref="A19:A20"/>
    <mergeCell ref="A13:A14"/>
    <mergeCell ref="A22:J22"/>
    <mergeCell ref="A2:J2"/>
    <mergeCell ref="A3:J3"/>
  </mergeCells>
  <conditionalFormatting sqref="I7:I20">
    <cfRule type="containsText" dxfId="2" priority="1" operator="containsText" text="Not Used &amp; Completed">
      <formula>NOT(ISERROR(SEARCH("Not Used &amp; Completed",I7)))</formula>
    </cfRule>
    <cfRule type="containsText" dxfId="1" priority="2" operator="containsText" text="Open">
      <formula>NOT(ISERROR(SEARCH("Open",I7)))</formula>
    </cfRule>
    <cfRule type="containsText" dxfId="0" priority="3" operator="containsText" text="Used &amp; Completed">
      <formula>NOT(ISERROR(SEARCH("Used &amp; Completed",I7)))</formula>
    </cfRule>
  </conditionalFormatting>
  <dataValidations disablePrompts="1" count="1">
    <dataValidation type="list" allowBlank="1" showInputMessage="1" showErrorMessage="1" sqref="I7:I20" xr:uid="{2BA31183-0744-4FA6-9785-167BE4827279}">
      <formula1>"Open, Used &amp; Completed, Not Used &amp; Completed"</formula1>
    </dataValidation>
  </dataValidations>
  <hyperlinks>
    <hyperlink ref="A22" r:id="rId1" xr:uid="{DE3AB36E-3E5A-4480-AB57-0517C05D1C3B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342F6-61D2-404F-9B0E-0C3C01B56DDC}">
  <dimension ref="A1:L15"/>
  <sheetViews>
    <sheetView topLeftCell="A5" workbookViewId="0">
      <selection activeCell="D19" sqref="D19"/>
    </sheetView>
  </sheetViews>
  <sheetFormatPr defaultRowHeight="14.5" x14ac:dyDescent="0.35"/>
  <cols>
    <col min="1" max="1" width="28.81640625" customWidth="1"/>
    <col min="2" max="2" width="19.90625" customWidth="1"/>
    <col min="3" max="3" width="8.1796875" bestFit="1" customWidth="1"/>
    <col min="4" max="4" width="11.90625" customWidth="1"/>
    <col min="5" max="5" width="4.26953125" bestFit="1" customWidth="1"/>
    <col min="7" max="7" width="27.453125" customWidth="1"/>
    <col min="8" max="8" width="4.54296875" bestFit="1" customWidth="1"/>
    <col min="10" max="10" width="4.26953125" bestFit="1" customWidth="1"/>
    <col min="12" max="12" width="22.6328125" customWidth="1"/>
  </cols>
  <sheetData>
    <row r="1" spans="1:12" ht="15" thickBot="1" x14ac:dyDescent="0.4">
      <c r="B1" s="73" t="s">
        <v>88</v>
      </c>
      <c r="C1" s="74"/>
      <c r="D1" s="74" t="s">
        <v>89</v>
      </c>
      <c r="E1" s="75" t="s">
        <v>90</v>
      </c>
      <c r="G1" s="73" t="s">
        <v>88</v>
      </c>
      <c r="H1" s="74"/>
      <c r="I1" s="74" t="s">
        <v>89</v>
      </c>
      <c r="J1" s="75" t="s">
        <v>90</v>
      </c>
    </row>
    <row r="2" spans="1:12" ht="16.5" x14ac:dyDescent="0.45">
      <c r="A2" s="76" t="s">
        <v>91</v>
      </c>
      <c r="B2" s="77" t="s">
        <v>92</v>
      </c>
      <c r="C2" s="21" t="s">
        <v>93</v>
      </c>
      <c r="D2" s="78">
        <v>7</v>
      </c>
      <c r="E2" s="79" t="s">
        <v>94</v>
      </c>
      <c r="G2" s="77" t="s">
        <v>92</v>
      </c>
      <c r="H2" s="21" t="s">
        <v>93</v>
      </c>
      <c r="I2" s="78">
        <v>7</v>
      </c>
      <c r="J2" s="79" t="s">
        <v>94</v>
      </c>
      <c r="L2" t="s">
        <v>95</v>
      </c>
    </row>
    <row r="3" spans="1:12" ht="30" x14ac:dyDescent="0.45">
      <c r="A3" s="80" t="s">
        <v>96</v>
      </c>
      <c r="B3" s="81" t="s">
        <v>97</v>
      </c>
      <c r="C3" s="23" t="s">
        <v>98</v>
      </c>
      <c r="D3" s="82">
        <v>1</v>
      </c>
      <c r="E3" s="83" t="s">
        <v>94</v>
      </c>
      <c r="G3" s="81" t="s">
        <v>97</v>
      </c>
      <c r="H3" s="23" t="s">
        <v>98</v>
      </c>
      <c r="I3" s="82">
        <v>1</v>
      </c>
      <c r="J3" s="83" t="s">
        <v>94</v>
      </c>
    </row>
    <row r="4" spans="1:12" ht="17" thickBot="1" x14ac:dyDescent="0.5">
      <c r="A4" s="84" t="s">
        <v>45</v>
      </c>
      <c r="B4" s="85" t="s">
        <v>99</v>
      </c>
      <c r="C4" s="22" t="s">
        <v>100</v>
      </c>
      <c r="D4" s="86">
        <v>4</v>
      </c>
      <c r="E4" s="83" t="s">
        <v>94</v>
      </c>
      <c r="G4" s="87" t="s">
        <v>101</v>
      </c>
      <c r="H4" s="52" t="s">
        <v>102</v>
      </c>
      <c r="I4" s="88">
        <v>2</v>
      </c>
      <c r="J4" s="89" t="s">
        <v>103</v>
      </c>
    </row>
    <row r="5" spans="1:12" ht="30.5" thickBot="1" x14ac:dyDescent="0.5">
      <c r="B5" s="85" t="s">
        <v>104</v>
      </c>
      <c r="C5" s="22" t="s">
        <v>105</v>
      </c>
      <c r="D5" s="82">
        <v>52</v>
      </c>
      <c r="E5" s="83" t="s">
        <v>106</v>
      </c>
      <c r="G5" s="87" t="s">
        <v>107</v>
      </c>
      <c r="H5" s="52" t="s">
        <v>108</v>
      </c>
      <c r="I5" s="90">
        <f>(I2-I3)/I4</f>
        <v>3</v>
      </c>
      <c r="J5" s="91" t="s">
        <v>109</v>
      </c>
    </row>
    <row r="6" spans="1:12" ht="30" x14ac:dyDescent="0.45">
      <c r="B6" s="81" t="s">
        <v>110</v>
      </c>
      <c r="C6" s="23" t="s">
        <v>111</v>
      </c>
      <c r="D6" s="86">
        <v>2</v>
      </c>
      <c r="E6" s="83" t="s">
        <v>112</v>
      </c>
    </row>
    <row r="7" spans="1:12" ht="16.5" x14ac:dyDescent="0.45">
      <c r="B7" s="85" t="s">
        <v>113</v>
      </c>
      <c r="C7" s="92" t="s">
        <v>114</v>
      </c>
      <c r="D7" s="82">
        <v>80</v>
      </c>
      <c r="E7" s="83" t="s">
        <v>115</v>
      </c>
      <c r="G7" t="s">
        <v>116</v>
      </c>
    </row>
    <row r="8" spans="1:12" ht="16.5" x14ac:dyDescent="0.45">
      <c r="B8" s="85" t="s">
        <v>117</v>
      </c>
      <c r="C8" s="92" t="s">
        <v>118</v>
      </c>
      <c r="D8" s="82">
        <v>300</v>
      </c>
      <c r="E8" s="83" t="s">
        <v>119</v>
      </c>
    </row>
    <row r="9" spans="1:12" ht="17" thickBot="1" x14ac:dyDescent="0.5">
      <c r="B9" s="85" t="s">
        <v>120</v>
      </c>
      <c r="C9" s="92" t="s">
        <v>121</v>
      </c>
      <c r="D9" s="86">
        <v>0.4</v>
      </c>
      <c r="E9" s="83" t="s">
        <v>122</v>
      </c>
    </row>
    <row r="10" spans="1:12" ht="16.5" x14ac:dyDescent="0.45">
      <c r="B10" s="93" t="s">
        <v>123</v>
      </c>
      <c r="C10" s="94" t="s">
        <v>124</v>
      </c>
      <c r="D10" s="95">
        <f>D2-D3-D4</f>
        <v>2</v>
      </c>
      <c r="E10" s="79" t="s">
        <v>94</v>
      </c>
      <c r="G10" t="s">
        <v>125</v>
      </c>
    </row>
    <row r="11" spans="1:12" ht="17" thickBot="1" x14ac:dyDescent="0.5">
      <c r="B11" s="87" t="s">
        <v>125</v>
      </c>
      <c r="C11" s="52" t="s">
        <v>126</v>
      </c>
      <c r="D11" s="90">
        <f>ROUNDUP((D5*10^-9+D6*10^-6*D7*0.01/(D8*10^3)+D9*10^-3/(D8*10^3))*10^9,0)</f>
        <v>54</v>
      </c>
      <c r="E11" s="89" t="s">
        <v>106</v>
      </c>
    </row>
    <row r="12" spans="1:12" ht="30.5" thickBot="1" x14ac:dyDescent="0.5">
      <c r="B12" s="81" t="s">
        <v>127</v>
      </c>
      <c r="C12" s="96" t="s">
        <v>128</v>
      </c>
      <c r="D12" s="97">
        <f>ROUNDUP((D5*10^-9+D6*10^-6*D7*0.01/(D8*10^3)+D9*10^-3/(D8*10^3))*10^9,0)/(D2-D3-D4)</f>
        <v>27</v>
      </c>
      <c r="E12" s="83" t="s">
        <v>129</v>
      </c>
    </row>
    <row r="13" spans="1:12" ht="20.5" customHeight="1" thickBot="1" x14ac:dyDescent="0.5">
      <c r="B13" s="98" t="s">
        <v>130</v>
      </c>
      <c r="C13" s="99" t="s">
        <v>124</v>
      </c>
      <c r="D13" s="100">
        <v>0.5</v>
      </c>
      <c r="E13" s="75" t="s">
        <v>94</v>
      </c>
      <c r="G13" t="s">
        <v>131</v>
      </c>
    </row>
    <row r="14" spans="1:12" ht="30.5" thickBot="1" x14ac:dyDescent="0.5">
      <c r="B14" s="73" t="s">
        <v>132</v>
      </c>
      <c r="C14" s="101" t="s">
        <v>133</v>
      </c>
      <c r="D14" s="102">
        <f>D11/D13</f>
        <v>108</v>
      </c>
      <c r="E14" s="75" t="s">
        <v>129</v>
      </c>
    </row>
    <row r="15" spans="1:12" x14ac:dyDescent="0.35">
      <c r="D15" s="10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BAC9-7E7C-4380-AA3E-7F927127A224}">
  <dimension ref="A1:M26"/>
  <sheetViews>
    <sheetView workbookViewId="0">
      <selection activeCell="G20" sqref="G20"/>
    </sheetView>
  </sheetViews>
  <sheetFormatPr defaultRowHeight="14.5" x14ac:dyDescent="0.35"/>
  <cols>
    <col min="1" max="1" width="30.08984375" customWidth="1"/>
    <col min="2" max="2" width="26.90625" bestFit="1" customWidth="1"/>
    <col min="3" max="3" width="10.1796875" bestFit="1" customWidth="1"/>
    <col min="4" max="4" width="7.453125" customWidth="1"/>
    <col min="5" max="5" width="5.1796875" bestFit="1" customWidth="1"/>
    <col min="6" max="6" width="1.08984375" customWidth="1"/>
    <col min="7" max="7" width="30.90625" bestFit="1" customWidth="1"/>
    <col min="8" max="8" width="6.6328125" customWidth="1"/>
    <col min="9" max="9" width="4.26953125" bestFit="1" customWidth="1"/>
    <col min="10" max="10" width="1.08984375" customWidth="1"/>
    <col min="11" max="11" width="24" bestFit="1" customWidth="1"/>
    <col min="12" max="12" width="6.7265625" customWidth="1"/>
    <col min="13" max="13" width="4.26953125" bestFit="1" customWidth="1"/>
  </cols>
  <sheetData>
    <row r="1" spans="1:13" ht="15" thickBot="1" x14ac:dyDescent="0.4">
      <c r="B1" s="104" t="s">
        <v>88</v>
      </c>
      <c r="C1" s="101"/>
      <c r="D1" s="101" t="s">
        <v>89</v>
      </c>
      <c r="E1" s="75" t="s">
        <v>90</v>
      </c>
    </row>
    <row r="2" spans="1:13" ht="16.5" x14ac:dyDescent="0.45">
      <c r="A2" s="76" t="s">
        <v>134</v>
      </c>
      <c r="B2" s="77" t="s">
        <v>92</v>
      </c>
      <c r="C2" s="21" t="s">
        <v>93</v>
      </c>
      <c r="D2" s="78">
        <v>7</v>
      </c>
      <c r="E2" s="79" t="s">
        <v>94</v>
      </c>
    </row>
    <row r="3" spans="1:13" ht="16.5" x14ac:dyDescent="0.45">
      <c r="A3" s="80" t="s">
        <v>135</v>
      </c>
      <c r="B3" s="105" t="s">
        <v>136</v>
      </c>
      <c r="C3" s="22" t="s">
        <v>105</v>
      </c>
      <c r="D3" s="82">
        <v>52</v>
      </c>
      <c r="E3" s="83" t="s">
        <v>106</v>
      </c>
      <c r="G3" t="s">
        <v>137</v>
      </c>
    </row>
    <row r="4" spans="1:13" ht="16.5" x14ac:dyDescent="0.45">
      <c r="A4" s="84" t="s">
        <v>138</v>
      </c>
      <c r="B4" s="85" t="s">
        <v>139</v>
      </c>
      <c r="C4" s="92" t="s">
        <v>118</v>
      </c>
      <c r="D4" s="82">
        <v>300</v>
      </c>
      <c r="E4" s="83" t="s">
        <v>119</v>
      </c>
    </row>
    <row r="5" spans="1:13" ht="16.5" x14ac:dyDescent="0.45">
      <c r="B5" s="85" t="s">
        <v>140</v>
      </c>
      <c r="C5" s="22" t="s">
        <v>141</v>
      </c>
      <c r="D5" s="82">
        <v>0.75</v>
      </c>
      <c r="E5" s="106" t="s">
        <v>109</v>
      </c>
    </row>
    <row r="6" spans="1:13" ht="16.5" x14ac:dyDescent="0.45">
      <c r="B6" s="85" t="s">
        <v>142</v>
      </c>
      <c r="C6" s="92" t="s">
        <v>143</v>
      </c>
      <c r="D6" s="86">
        <v>1</v>
      </c>
      <c r="E6" s="106" t="s">
        <v>109</v>
      </c>
    </row>
    <row r="7" spans="1:13" ht="16.5" x14ac:dyDescent="0.45">
      <c r="B7" s="85" t="s">
        <v>144</v>
      </c>
      <c r="C7" s="92" t="s">
        <v>145</v>
      </c>
      <c r="D7" s="82">
        <v>5</v>
      </c>
      <c r="E7" s="106" t="s">
        <v>109</v>
      </c>
      <c r="G7" s="22"/>
      <c r="H7" s="92"/>
      <c r="I7" s="107"/>
    </row>
    <row r="8" spans="1:13" ht="16.5" x14ac:dyDescent="0.45">
      <c r="B8" s="85" t="s">
        <v>146</v>
      </c>
      <c r="C8" s="92" t="s">
        <v>147</v>
      </c>
      <c r="D8" s="86">
        <v>0.85</v>
      </c>
      <c r="E8" s="106" t="s">
        <v>109</v>
      </c>
      <c r="G8" t="s">
        <v>148</v>
      </c>
    </row>
    <row r="9" spans="1:13" ht="16.5" x14ac:dyDescent="0.45">
      <c r="B9" s="85" t="s">
        <v>149</v>
      </c>
      <c r="C9" s="92" t="s">
        <v>150</v>
      </c>
      <c r="D9" s="82">
        <v>2</v>
      </c>
      <c r="E9" s="106" t="s">
        <v>109</v>
      </c>
    </row>
    <row r="10" spans="1:13" ht="16.5" x14ac:dyDescent="0.45">
      <c r="B10" s="85" t="s">
        <v>151</v>
      </c>
      <c r="C10" s="92" t="s">
        <v>152</v>
      </c>
      <c r="D10" s="86">
        <v>0.3</v>
      </c>
      <c r="E10" s="83" t="s">
        <v>122</v>
      </c>
    </row>
    <row r="11" spans="1:13" ht="16.5" x14ac:dyDescent="0.45">
      <c r="A11" s="22"/>
      <c r="B11" s="85" t="s">
        <v>153</v>
      </c>
      <c r="C11" s="23" t="s">
        <v>98</v>
      </c>
      <c r="D11" s="86">
        <v>0.7</v>
      </c>
      <c r="E11" s="83" t="s">
        <v>94</v>
      </c>
      <c r="G11" t="s">
        <v>154</v>
      </c>
    </row>
    <row r="12" spans="1:13" ht="16.5" x14ac:dyDescent="0.45">
      <c r="A12" s="22"/>
      <c r="B12" s="85" t="s">
        <v>120</v>
      </c>
      <c r="C12" s="92" t="s">
        <v>121</v>
      </c>
      <c r="D12" s="86">
        <v>0.2</v>
      </c>
      <c r="E12" s="106" t="s">
        <v>122</v>
      </c>
      <c r="K12" s="92"/>
      <c r="L12" s="92"/>
      <c r="M12" s="92"/>
    </row>
    <row r="13" spans="1:13" x14ac:dyDescent="0.35">
      <c r="B13" s="85" t="s">
        <v>155</v>
      </c>
      <c r="C13" s="22"/>
      <c r="D13" s="82" t="s">
        <v>156</v>
      </c>
      <c r="E13" s="83"/>
    </row>
    <row r="14" spans="1:13" ht="16.5" x14ac:dyDescent="0.45">
      <c r="B14" s="85" t="s">
        <v>157</v>
      </c>
      <c r="C14" s="92" t="s">
        <v>158</v>
      </c>
      <c r="D14" s="82">
        <v>1</v>
      </c>
      <c r="E14" s="83" t="s">
        <v>122</v>
      </c>
      <c r="G14" t="s">
        <v>159</v>
      </c>
    </row>
    <row r="15" spans="1:13" ht="16.5" x14ac:dyDescent="0.45">
      <c r="B15" s="85" t="s">
        <v>160</v>
      </c>
      <c r="C15" s="92" t="s">
        <v>161</v>
      </c>
      <c r="D15" s="82">
        <v>1</v>
      </c>
      <c r="E15" s="83" t="s">
        <v>162</v>
      </c>
    </row>
    <row r="16" spans="1:13" ht="16.5" x14ac:dyDescent="0.45">
      <c r="B16" s="85" t="s">
        <v>163</v>
      </c>
      <c r="C16" s="92" t="s">
        <v>164</v>
      </c>
      <c r="D16" s="108">
        <v>10</v>
      </c>
      <c r="E16" s="83" t="s">
        <v>94</v>
      </c>
    </row>
    <row r="17" spans="2:5" ht="16.5" x14ac:dyDescent="0.45">
      <c r="B17" s="109" t="s">
        <v>165</v>
      </c>
      <c r="C17" s="92" t="s">
        <v>111</v>
      </c>
      <c r="D17" s="110">
        <v>2</v>
      </c>
      <c r="E17" s="106" t="s">
        <v>166</v>
      </c>
    </row>
    <row r="18" spans="2:5" ht="16.5" x14ac:dyDescent="0.45">
      <c r="B18" s="109" t="s">
        <v>167</v>
      </c>
      <c r="C18" s="92" t="s">
        <v>168</v>
      </c>
      <c r="D18" s="108">
        <v>82</v>
      </c>
      <c r="E18" s="106" t="s">
        <v>94</v>
      </c>
    </row>
    <row r="19" spans="2:5" ht="17" thickBot="1" x14ac:dyDescent="0.5">
      <c r="B19" s="111" t="s">
        <v>169</v>
      </c>
      <c r="C19" s="112" t="s">
        <v>114</v>
      </c>
      <c r="D19" s="113">
        <v>50</v>
      </c>
      <c r="E19" s="91" t="s">
        <v>115</v>
      </c>
    </row>
    <row r="20" spans="2:5" ht="16.5" x14ac:dyDescent="0.45">
      <c r="B20" s="77" t="s">
        <v>137</v>
      </c>
      <c r="C20" s="21" t="s">
        <v>170</v>
      </c>
      <c r="D20" s="114">
        <f>ROUND(2*10^-3*D2*D3*D4*D6/(D6+D5+D7)+2*10^-3*D2*D3*D4*D8/(D8+D5+D9),2)</f>
        <v>83.92</v>
      </c>
      <c r="E20" s="115" t="s">
        <v>171</v>
      </c>
    </row>
    <row r="21" spans="2:5" ht="16.5" x14ac:dyDescent="0.45">
      <c r="B21" s="85" t="s">
        <v>148</v>
      </c>
      <c r="C21" s="22" t="s">
        <v>172</v>
      </c>
      <c r="D21" s="116">
        <f>D2*D10+(D2-D11)*D12</f>
        <v>3.3600000000000003</v>
      </c>
      <c r="E21" s="106" t="s">
        <v>171</v>
      </c>
    </row>
    <row r="22" spans="2:5" ht="16.5" x14ac:dyDescent="0.45">
      <c r="B22" s="85" t="s">
        <v>159</v>
      </c>
      <c r="C22" s="22" t="s">
        <v>173</v>
      </c>
      <c r="D22" s="97">
        <f>D11*(D12+D3*D4)*10^-6</f>
        <v>1.0920139999999998E-2</v>
      </c>
      <c r="E22" s="83" t="s">
        <v>171</v>
      </c>
    </row>
    <row r="23" spans="2:5" ht="17" thickBot="1" x14ac:dyDescent="0.5">
      <c r="B23" s="117" t="s">
        <v>174</v>
      </c>
      <c r="C23" s="118" t="s">
        <v>175</v>
      </c>
      <c r="D23" s="90">
        <f>D17*D18*D19*10^-3</f>
        <v>8.1999999999999993</v>
      </c>
      <c r="E23" s="89" t="s">
        <v>171</v>
      </c>
    </row>
    <row r="24" spans="2:5" ht="15" thickBot="1" x14ac:dyDescent="0.4">
      <c r="B24" s="111" t="s">
        <v>176</v>
      </c>
      <c r="C24" s="112"/>
      <c r="D24" s="90">
        <f>ROUND(D20+D21+D23+IF(D13="yes",D22,0),2)</f>
        <v>95.49</v>
      </c>
      <c r="E24" s="119" t="s">
        <v>171</v>
      </c>
    </row>
    <row r="25" spans="2:5" ht="17" thickBot="1" x14ac:dyDescent="0.5">
      <c r="B25" s="111" t="s">
        <v>177</v>
      </c>
      <c r="C25" s="112" t="s">
        <v>178</v>
      </c>
      <c r="D25" s="88">
        <v>118.3</v>
      </c>
      <c r="E25" s="119" t="s">
        <v>179</v>
      </c>
    </row>
    <row r="26" spans="2:5" ht="29.5" thickBot="1" x14ac:dyDescent="0.4">
      <c r="B26" s="73" t="s">
        <v>180</v>
      </c>
      <c r="C26" s="101" t="s">
        <v>181</v>
      </c>
      <c r="D26" s="102">
        <f>D24*D25*0.001</f>
        <v>11.296467</v>
      </c>
      <c r="E26" s="75" t="s">
        <v>182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2EDA3-8009-4A67-85A3-6C490FBDCDF9}">
          <x14:formula1>
            <xm:f>'C:\Users\a0500447\Downloads\[Half Bridge Calculator.xlsx]extra'!#REF!</xm:f>
          </x14:formula1>
          <xm:sqref>D13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2041-2FB8-4DCC-BA5A-2B591B62C1B1}">
  <dimension ref="A1:G10"/>
  <sheetViews>
    <sheetView workbookViewId="0">
      <selection activeCell="G20" sqref="G20"/>
    </sheetView>
  </sheetViews>
  <sheetFormatPr defaultRowHeight="14.5" x14ac:dyDescent="0.35"/>
  <cols>
    <col min="1" max="1" width="29.08984375" customWidth="1"/>
    <col min="2" max="2" width="30.26953125" bestFit="1" customWidth="1"/>
    <col min="3" max="3" width="10.36328125" bestFit="1" customWidth="1"/>
    <col min="5" max="5" width="4.26953125" bestFit="1" customWidth="1"/>
    <col min="6" max="6" width="3.36328125" customWidth="1"/>
    <col min="7" max="7" width="17.26953125" customWidth="1"/>
  </cols>
  <sheetData>
    <row r="1" spans="1:7" ht="15" thickBot="1" x14ac:dyDescent="0.4">
      <c r="B1" s="104" t="s">
        <v>88</v>
      </c>
      <c r="C1" s="101"/>
      <c r="D1" s="101" t="s">
        <v>89</v>
      </c>
      <c r="E1" s="75" t="s">
        <v>90</v>
      </c>
    </row>
    <row r="2" spans="1:7" ht="16.5" x14ac:dyDescent="0.45">
      <c r="A2" s="76" t="s">
        <v>134</v>
      </c>
      <c r="B2" s="85" t="s">
        <v>183</v>
      </c>
      <c r="C2" s="22" t="s">
        <v>105</v>
      </c>
      <c r="D2" s="82">
        <v>52</v>
      </c>
      <c r="E2" s="83" t="s">
        <v>106</v>
      </c>
    </row>
    <row r="3" spans="1:7" ht="16.5" x14ac:dyDescent="0.45">
      <c r="A3" s="80" t="s">
        <v>135</v>
      </c>
      <c r="B3" s="85" t="s">
        <v>184</v>
      </c>
      <c r="C3" s="22" t="s">
        <v>185</v>
      </c>
      <c r="D3" s="82">
        <v>10</v>
      </c>
      <c r="E3" s="83" t="s">
        <v>94</v>
      </c>
    </row>
    <row r="4" spans="1:7" ht="16.5" x14ac:dyDescent="0.45">
      <c r="A4" s="84" t="s">
        <v>138</v>
      </c>
      <c r="B4" s="85" t="s">
        <v>140</v>
      </c>
      <c r="C4" s="22" t="s">
        <v>141</v>
      </c>
      <c r="D4" s="82">
        <v>0.75</v>
      </c>
      <c r="E4" s="106" t="s">
        <v>109</v>
      </c>
      <c r="G4" t="s">
        <v>186</v>
      </c>
    </row>
    <row r="5" spans="1:7" ht="16.5" x14ac:dyDescent="0.45">
      <c r="B5" s="85" t="s">
        <v>142</v>
      </c>
      <c r="C5" s="92" t="s">
        <v>143</v>
      </c>
      <c r="D5" s="86">
        <v>1</v>
      </c>
      <c r="E5" s="106" t="s">
        <v>109</v>
      </c>
    </row>
    <row r="6" spans="1:7" ht="16.5" x14ac:dyDescent="0.45">
      <c r="B6" s="85" t="s">
        <v>144</v>
      </c>
      <c r="C6" s="92" t="s">
        <v>145</v>
      </c>
      <c r="D6" s="82">
        <v>5</v>
      </c>
      <c r="E6" s="106" t="s">
        <v>109</v>
      </c>
    </row>
    <row r="7" spans="1:7" ht="16.5" x14ac:dyDescent="0.45">
      <c r="B7" s="85" t="s">
        <v>146</v>
      </c>
      <c r="C7" s="92" t="s">
        <v>147</v>
      </c>
      <c r="D7" s="86">
        <v>0.85</v>
      </c>
      <c r="E7" s="106" t="s">
        <v>109</v>
      </c>
    </row>
    <row r="8" spans="1:7" ht="17" thickBot="1" x14ac:dyDescent="0.5">
      <c r="B8" s="85" t="s">
        <v>149</v>
      </c>
      <c r="C8" s="92" t="s">
        <v>150</v>
      </c>
      <c r="D8" s="82">
        <v>2</v>
      </c>
      <c r="E8" s="106" t="s">
        <v>109</v>
      </c>
    </row>
    <row r="9" spans="1:7" ht="16.5" x14ac:dyDescent="0.45">
      <c r="B9" s="77" t="s">
        <v>187</v>
      </c>
      <c r="C9" s="21" t="s">
        <v>188</v>
      </c>
      <c r="D9" s="95">
        <f>ROUND(2*(D5+D6+D4)*D2/D3,0)</f>
        <v>70</v>
      </c>
      <c r="E9" s="115" t="s">
        <v>162</v>
      </c>
    </row>
    <row r="10" spans="1:7" ht="17" thickBot="1" x14ac:dyDescent="0.5">
      <c r="B10" s="117" t="s">
        <v>189</v>
      </c>
      <c r="C10" s="118" t="s">
        <v>190</v>
      </c>
      <c r="D10" s="120">
        <f>ROUND(2*(D7+D8+D4)*D2/D3,0)</f>
        <v>37</v>
      </c>
      <c r="E10" s="91" t="s">
        <v>162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Schematic Review Checklist</vt:lpstr>
      <vt:lpstr>Bootstrap</vt:lpstr>
      <vt:lpstr>Power Dissipation</vt:lpstr>
      <vt:lpstr>Switching Times</vt:lpstr>
    </vt:vector>
  </TitlesOfParts>
  <Company>Texas Instruments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Hagar</dc:creator>
  <cp:lastModifiedBy>Mohamed, Hagar</cp:lastModifiedBy>
  <dcterms:created xsi:type="dcterms:W3CDTF">2022-06-02T14:27:32Z</dcterms:created>
  <dcterms:modified xsi:type="dcterms:W3CDTF">2022-07-25T21:08:04Z</dcterms:modified>
</cp:coreProperties>
</file>