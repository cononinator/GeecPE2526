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0500447\Documents\1 - Schematics\"/>
    </mc:Choice>
  </mc:AlternateContent>
  <xr:revisionPtr revIDLastSave="0" documentId="13_ncr:1_{09380E06-5692-41DE-9D43-6301D4E178E4}" xr6:coauthVersionLast="36" xr6:coauthVersionMax="36" xr10:uidLastSave="{00000000-0000-0000-0000-000000000000}"/>
  <bookViews>
    <workbookView xWindow="0" yWindow="0" windowWidth="19200" windowHeight="8150" xr2:uid="{D42E3408-4C66-476D-B17B-D078FA281AE3}"/>
  </bookViews>
  <sheets>
    <sheet name="Schematic Review Checklist" sheetId="4" r:id="rId1"/>
    <sheet name="Bootstrap" sheetId="5" r:id="rId2"/>
    <sheet name="Power Dissipation" sheetId="6" r:id="rId3"/>
    <sheet name="Switching Times" sheetId="7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0" i="7" l="1"/>
  <c r="D9" i="7"/>
  <c r="D23" i="6"/>
  <c r="D22" i="6"/>
  <c r="D21" i="6"/>
  <c r="D20" i="6"/>
  <c r="D24" i="6" s="1"/>
  <c r="D26" i="6" s="1"/>
  <c r="D12" i="5"/>
  <c r="D11" i="5"/>
  <c r="D14" i="5" s="1"/>
  <c r="D10" i="5"/>
  <c r="I5" i="5"/>
</calcChain>
</file>

<file path=xl/sharedStrings.xml><?xml version="1.0" encoding="utf-8"?>
<sst xmlns="http://schemas.openxmlformats.org/spreadsheetml/2006/main" count="295" uniqueCount="179">
  <si>
    <t xml:space="preserve">Texas Instruments </t>
  </si>
  <si>
    <t>Typical Application Schematic</t>
  </si>
  <si>
    <t>System</t>
  </si>
  <si>
    <t>Component</t>
  </si>
  <si>
    <t>Purpose</t>
  </si>
  <si>
    <t>Component Required</t>
  </si>
  <si>
    <t>Typical Value</t>
  </si>
  <si>
    <t>Additional Considerations</t>
  </si>
  <si>
    <t>Connections</t>
  </si>
  <si>
    <t>Layout Recommendations</t>
  </si>
  <si>
    <t>Check if Complete</t>
  </si>
  <si>
    <t>Comments</t>
  </si>
  <si>
    <t>LM5113(-Q1) Schematic and Layout Checklist</t>
  </si>
  <si>
    <t>Open</t>
  </si>
  <si>
    <t>Bootstrap</t>
  </si>
  <si>
    <t>Cboot</t>
  </si>
  <si>
    <t>Build charge to drive high side gate</t>
  </si>
  <si>
    <t>Yes</t>
  </si>
  <si>
    <t>HS, HB</t>
  </si>
  <si>
    <t>Place close to HS, HB pins</t>
  </si>
  <si>
    <t>Rboot</t>
  </si>
  <si>
    <t>No</t>
  </si>
  <si>
    <t>HB, Dboot</t>
  </si>
  <si>
    <t>Dboot</t>
  </si>
  <si>
    <t>Rboot, VDD</t>
  </si>
  <si>
    <t>Limit Dboot current</t>
  </si>
  <si>
    <t>Minimize path length from supply to Cboot</t>
  </si>
  <si>
    <t>100Ω  </t>
  </si>
  <si>
    <t>BAT46, BAT41, or LL4148 recommended</t>
  </si>
  <si>
    <t>Power supply</t>
  </si>
  <si>
    <t>Large Bypass cap</t>
  </si>
  <si>
    <t>VDD,GND</t>
  </si>
  <si>
    <t>Small Bypass cap</t>
  </si>
  <si>
    <t>HI Resistor</t>
  </si>
  <si>
    <t>HI, Input</t>
  </si>
  <si>
    <t>Place close to HI pin</t>
  </si>
  <si>
    <t>HI Cap</t>
  </si>
  <si>
    <t>HI, GND</t>
  </si>
  <si>
    <t>LI Resistor</t>
  </si>
  <si>
    <t>LI, Input</t>
  </si>
  <si>
    <t>Place close to LI pin</t>
  </si>
  <si>
    <t>LI Cap</t>
  </si>
  <si>
    <t>LI, GND</t>
  </si>
  <si>
    <t>Outputs</t>
  </si>
  <si>
    <t>0 - 5Ω</t>
  </si>
  <si>
    <t>Reduce noise on VDD pin</t>
  </si>
  <si>
    <t>Filter input noise</t>
  </si>
  <si>
    <t>HOH, High gate</t>
  </si>
  <si>
    <t>LOH, Low Gate</t>
  </si>
  <si>
    <t>HOL, High gate</t>
  </si>
  <si>
    <t>LOL, Low Gate</t>
  </si>
  <si>
    <t>1kΩ</t>
  </si>
  <si>
    <t>22pF</t>
  </si>
  <si>
    <t>Input Filtering</t>
  </si>
  <si>
    <t>HOH Resistor</t>
  </si>
  <si>
    <t>HOL Resistor</t>
  </si>
  <si>
    <t>LOH Resistor</t>
  </si>
  <si>
    <t>LOL Resistor</t>
  </si>
  <si>
    <t>Adjust switching speed and reduce ringing</t>
  </si>
  <si>
    <t>Place between HOH and gate with trace as short and wide as possible to minimize group loop</t>
  </si>
  <si>
    <t>Place between HOL and gate with trace as short and wide as possible to minimize group loop</t>
  </si>
  <si>
    <t>Place between LOH and gate with trace as short and wide as possible to minimize group loop</t>
  </si>
  <si>
    <t>Place between LOL and gate with trace as short and wide as possible to minimize group loop</t>
  </si>
  <si>
    <t>Allow charging of Cboot when forward biased, and prevent Cboot charges flowing back to VDD when reverse biased</t>
  </si>
  <si>
    <t>Reduce VDD drop at switch on and replenish Cboot</t>
  </si>
  <si>
    <t>Use this document as a supplemental checklist to be used with the driver's datasheet</t>
  </si>
  <si>
    <t>220nF - 10μF</t>
  </si>
  <si>
    <t>100nF</t>
  </si>
  <si>
    <t>10V - 16V, MLCC, X7R recommended</t>
  </si>
  <si>
    <t>10V-16V, MLCC, X7R recommended</t>
  </si>
  <si>
    <t>Place as close to VDD pin as possible, connect to GND</t>
  </si>
  <si>
    <t>Place close to HI pin, to Vss</t>
  </si>
  <si>
    <t>Place close to LI pin, to Vss</t>
  </si>
  <si>
    <t>Based on system specs (sizing of Cboot and Cvdd is based on Qtot - check Sec 3.1 in link at the bottom)</t>
  </si>
  <si>
    <t>Rboot must be able to withstand high power dissipation during the first charging sequence of the bootstrap capacitor (calculations can be found in Sec 3.4 in link at the bottom)</t>
  </si>
  <si>
    <t>Bootstrap Circuitry Selection for Half Bridge Configurations</t>
  </si>
  <si>
    <t>Spec</t>
  </si>
  <si>
    <t>Value</t>
  </si>
  <si>
    <t>Unit</t>
  </si>
  <si>
    <t>User Inputs</t>
  </si>
  <si>
    <t>Vdd</t>
  </si>
  <si>
    <r>
      <t>V</t>
    </r>
    <r>
      <rPr>
        <vertAlign val="subscript"/>
        <sz val="11"/>
        <color theme="1"/>
        <rFont val="Calibri"/>
        <family val="2"/>
        <scheme val="minor"/>
      </rPr>
      <t>DD</t>
    </r>
  </si>
  <si>
    <t>V</t>
  </si>
  <si>
    <t>Bootstrap resistance</t>
  </si>
  <si>
    <t>Driver Datasheet Values</t>
  </si>
  <si>
    <t>Bootstrap Diode Forward Voltage Drop</t>
  </si>
  <si>
    <r>
      <t>V</t>
    </r>
    <r>
      <rPr>
        <vertAlign val="subscript"/>
        <sz val="11"/>
        <color theme="1"/>
        <rFont val="Calibri"/>
        <family val="2"/>
        <scheme val="minor"/>
      </rPr>
      <t>DH</t>
    </r>
  </si>
  <si>
    <t>HB Falling Threshold</t>
  </si>
  <si>
    <r>
      <t>V</t>
    </r>
    <r>
      <rPr>
        <vertAlign val="subscript"/>
        <sz val="11"/>
        <color theme="1"/>
        <rFont val="Calibri"/>
        <family val="2"/>
        <scheme val="minor"/>
      </rPr>
      <t>HBL</t>
    </r>
  </si>
  <si>
    <t>Bootstrap Diode peak current</t>
  </si>
  <si>
    <r>
      <t>I</t>
    </r>
    <r>
      <rPr>
        <vertAlign val="subscript"/>
        <sz val="11"/>
        <color theme="1"/>
        <rFont val="Calibri"/>
        <family val="2"/>
        <scheme val="minor"/>
      </rPr>
      <t>pk</t>
    </r>
  </si>
  <si>
    <t>A</t>
  </si>
  <si>
    <t>FET Gate Charge</t>
  </si>
  <si>
    <r>
      <t>Q</t>
    </r>
    <r>
      <rPr>
        <vertAlign val="subscript"/>
        <sz val="11"/>
        <color theme="1"/>
        <rFont val="Calibri"/>
        <family val="2"/>
        <scheme val="minor"/>
      </rPr>
      <t>G</t>
    </r>
  </si>
  <si>
    <t>nC</t>
  </si>
  <si>
    <t>Min Bootsrap resistance (if using external bootstrap diode)</t>
  </si>
  <si>
    <r>
      <t>R</t>
    </r>
    <r>
      <rPr>
        <vertAlign val="subscript"/>
        <sz val="11"/>
        <color theme="1"/>
        <rFont val="Calibri"/>
        <family val="2"/>
        <scheme val="minor"/>
      </rPr>
      <t>boot</t>
    </r>
  </si>
  <si>
    <t>Ω</t>
  </si>
  <si>
    <t>HB to VSS Leakage Current</t>
  </si>
  <si>
    <r>
      <t>I</t>
    </r>
    <r>
      <rPr>
        <vertAlign val="subscript"/>
        <sz val="11"/>
        <color theme="1"/>
        <rFont val="Calibri"/>
        <family val="2"/>
        <scheme val="minor"/>
      </rPr>
      <t>HBS</t>
    </r>
  </si>
  <si>
    <r>
      <rPr>
        <sz val="11"/>
        <color theme="1"/>
        <rFont val="Calibri"/>
        <family val="2"/>
      </rPr>
      <t>μ</t>
    </r>
    <r>
      <rPr>
        <sz val="11"/>
        <color theme="1"/>
        <rFont val="Calibri"/>
        <family val="2"/>
        <scheme val="minor"/>
      </rPr>
      <t>A</t>
    </r>
  </si>
  <si>
    <t>Max duty cycle</t>
  </si>
  <si>
    <r>
      <t>D</t>
    </r>
    <r>
      <rPr>
        <vertAlign val="subscript"/>
        <sz val="11"/>
        <color theme="1"/>
        <rFont val="Calibri"/>
        <family val="2"/>
        <scheme val="minor"/>
      </rPr>
      <t>MAX</t>
    </r>
  </si>
  <si>
    <t>%</t>
  </si>
  <si>
    <t>Bootstrap Voltage Change</t>
  </si>
  <si>
    <t>switching frequency</t>
  </si>
  <si>
    <r>
      <t>f</t>
    </r>
    <r>
      <rPr>
        <vertAlign val="subscript"/>
        <sz val="11"/>
        <color theme="1"/>
        <rFont val="Calibri"/>
        <family val="2"/>
        <scheme val="minor"/>
      </rPr>
      <t>SW</t>
    </r>
  </si>
  <si>
    <t>kHz</t>
  </si>
  <si>
    <t>HB quiescent current</t>
  </si>
  <si>
    <r>
      <t>I</t>
    </r>
    <r>
      <rPr>
        <vertAlign val="subscript"/>
        <sz val="11"/>
        <color theme="1"/>
        <rFont val="Calibri"/>
        <family val="2"/>
        <scheme val="minor"/>
      </rPr>
      <t>HB</t>
    </r>
  </si>
  <si>
    <t>mA</t>
  </si>
  <si>
    <t>Max bootstrap ripple</t>
  </si>
  <si>
    <r>
      <rPr>
        <sz val="11"/>
        <color theme="1"/>
        <rFont val="Calibri"/>
        <family val="2"/>
      </rPr>
      <t>Δ</t>
    </r>
    <r>
      <rPr>
        <sz val="11"/>
        <color theme="1"/>
        <rFont val="Calibri"/>
        <family val="2"/>
        <scheme val="minor"/>
      </rPr>
      <t>V</t>
    </r>
    <r>
      <rPr>
        <vertAlign val="subscript"/>
        <sz val="11"/>
        <color theme="1"/>
        <rFont val="Calibri"/>
        <family val="2"/>
        <scheme val="minor"/>
      </rPr>
      <t>HB</t>
    </r>
  </si>
  <si>
    <t>Bootstrap charge</t>
  </si>
  <si>
    <r>
      <t>Q</t>
    </r>
    <r>
      <rPr>
        <vertAlign val="subscript"/>
        <sz val="11"/>
        <color theme="1"/>
        <rFont val="Calibri"/>
        <family val="2"/>
        <scheme val="minor"/>
      </rPr>
      <t>TOTAL</t>
    </r>
  </si>
  <si>
    <t>Min Bootstrap Capacitance</t>
  </si>
  <si>
    <r>
      <t>C</t>
    </r>
    <r>
      <rPr>
        <vertAlign val="subscript"/>
        <sz val="11"/>
        <color theme="1"/>
        <rFont val="Calibri"/>
        <family val="2"/>
        <scheme val="minor"/>
      </rPr>
      <t>BOOT(min)</t>
    </r>
  </si>
  <si>
    <t>nF</t>
  </si>
  <si>
    <t>Target bootstrap ripple</t>
  </si>
  <si>
    <t>Bootstrap Capacitance</t>
  </si>
  <si>
    <t>Recommended bootstrap capacitance</t>
  </si>
  <si>
    <r>
      <t>C</t>
    </r>
    <r>
      <rPr>
        <vertAlign val="subscript"/>
        <sz val="11"/>
        <color theme="1"/>
        <rFont val="Calibri"/>
        <family val="2"/>
        <scheme val="minor"/>
      </rPr>
      <t>BOOT</t>
    </r>
  </si>
  <si>
    <t>Input System Value</t>
  </si>
  <si>
    <t>Input Datasheet Value</t>
  </si>
  <si>
    <t>Gate Charge (Total)</t>
  </si>
  <si>
    <t>Switching Power Loss</t>
  </si>
  <si>
    <t>Output</t>
  </si>
  <si>
    <t>Switching Frequency</t>
  </si>
  <si>
    <t>FET internal gate resistance</t>
  </si>
  <si>
    <r>
      <t>R</t>
    </r>
    <r>
      <rPr>
        <vertAlign val="subscript"/>
        <sz val="11"/>
        <color theme="1"/>
        <rFont val="Calibri"/>
        <family val="2"/>
        <scheme val="minor"/>
      </rPr>
      <t>FET(int)</t>
    </r>
  </si>
  <si>
    <t>Driver pull up resistance</t>
  </si>
  <si>
    <r>
      <t>R</t>
    </r>
    <r>
      <rPr>
        <vertAlign val="subscript"/>
        <sz val="11"/>
        <color theme="1"/>
        <rFont val="Calibri"/>
        <family val="2"/>
        <scheme val="minor"/>
      </rPr>
      <t>Driver(int)(on)</t>
    </r>
  </si>
  <si>
    <t>Gate resistance (on)</t>
  </si>
  <si>
    <r>
      <t>R</t>
    </r>
    <r>
      <rPr>
        <vertAlign val="subscript"/>
        <sz val="11"/>
        <color theme="1"/>
        <rFont val="Calibri"/>
        <family val="2"/>
        <scheme val="minor"/>
      </rPr>
      <t>GATE(on)</t>
    </r>
  </si>
  <si>
    <t>Driver pull down resistance</t>
  </si>
  <si>
    <r>
      <t>R</t>
    </r>
    <r>
      <rPr>
        <vertAlign val="subscript"/>
        <sz val="11"/>
        <color theme="1"/>
        <rFont val="Calibri"/>
        <family val="2"/>
        <scheme val="minor"/>
      </rPr>
      <t>Driver(int)(off)</t>
    </r>
  </si>
  <si>
    <t>Quiescent Current Power Loss</t>
  </si>
  <si>
    <t>Gate resistance (off)</t>
  </si>
  <si>
    <r>
      <t>R</t>
    </r>
    <r>
      <rPr>
        <vertAlign val="subscript"/>
        <sz val="11"/>
        <color theme="1"/>
        <rFont val="Calibri"/>
        <family val="2"/>
        <scheme val="minor"/>
      </rPr>
      <t>GATE(off)</t>
    </r>
  </si>
  <si>
    <t>Vdd quiescent current</t>
  </si>
  <si>
    <r>
      <t>I</t>
    </r>
    <r>
      <rPr>
        <vertAlign val="subscript"/>
        <sz val="11"/>
        <color theme="1"/>
        <rFont val="Calibri"/>
        <family val="2"/>
        <scheme val="minor"/>
      </rPr>
      <t>DD</t>
    </r>
  </si>
  <si>
    <t>Diode voltage drop</t>
  </si>
  <si>
    <t>Leakage Current Power Loss</t>
  </si>
  <si>
    <t>Is diode integrated in driver</t>
  </si>
  <si>
    <t>yes</t>
  </si>
  <si>
    <t>Diode reverse recovery current</t>
  </si>
  <si>
    <r>
      <t>I</t>
    </r>
    <r>
      <rPr>
        <vertAlign val="subscript"/>
        <sz val="11"/>
        <color theme="1"/>
        <rFont val="Calibri"/>
        <family val="2"/>
        <scheme val="minor"/>
      </rPr>
      <t>RR</t>
    </r>
  </si>
  <si>
    <t>Diode Power Loss</t>
  </si>
  <si>
    <t>Diode reverse recovery time</t>
  </si>
  <si>
    <r>
      <t>t</t>
    </r>
    <r>
      <rPr>
        <vertAlign val="subscript"/>
        <sz val="11"/>
        <color theme="1"/>
        <rFont val="Calibri"/>
        <family val="2"/>
        <scheme val="minor"/>
      </rPr>
      <t>RR</t>
    </r>
  </si>
  <si>
    <t>ns</t>
  </si>
  <si>
    <t>Diode reverse voltage</t>
  </si>
  <si>
    <r>
      <t>V</t>
    </r>
    <r>
      <rPr>
        <vertAlign val="subscript"/>
        <sz val="11"/>
        <color theme="1"/>
        <rFont val="Calibri"/>
        <family val="2"/>
        <scheme val="minor"/>
      </rPr>
      <t>RR</t>
    </r>
  </si>
  <si>
    <t>HB to VSS quiescent current</t>
  </si>
  <si>
    <t>μA</t>
  </si>
  <si>
    <t>HB max voltage</t>
  </si>
  <si>
    <r>
      <t>V</t>
    </r>
    <r>
      <rPr>
        <vertAlign val="subscript"/>
        <sz val="11"/>
        <color theme="1"/>
        <rFont val="Calibri"/>
        <family val="2"/>
        <scheme val="minor"/>
      </rPr>
      <t>HB(max)</t>
    </r>
  </si>
  <si>
    <t>duty cycle</t>
  </si>
  <si>
    <r>
      <t>P</t>
    </r>
    <r>
      <rPr>
        <vertAlign val="subscript"/>
        <sz val="11"/>
        <color theme="1"/>
        <rFont val="Calibri"/>
        <family val="2"/>
        <scheme val="minor"/>
      </rPr>
      <t>QG</t>
    </r>
  </si>
  <si>
    <t>mW</t>
  </si>
  <si>
    <r>
      <t>P</t>
    </r>
    <r>
      <rPr>
        <vertAlign val="subscript"/>
        <sz val="11"/>
        <color theme="1"/>
        <rFont val="Calibri"/>
        <family val="2"/>
        <scheme val="minor"/>
      </rPr>
      <t>QC</t>
    </r>
  </si>
  <si>
    <r>
      <t>P</t>
    </r>
    <r>
      <rPr>
        <vertAlign val="subscript"/>
        <sz val="11"/>
        <color theme="1"/>
        <rFont val="Calibri"/>
        <family val="2"/>
        <scheme val="minor"/>
      </rPr>
      <t>DF</t>
    </r>
  </si>
  <si>
    <t>Low Side Leakage Power Loss</t>
  </si>
  <si>
    <r>
      <t>P</t>
    </r>
    <r>
      <rPr>
        <vertAlign val="subscript"/>
        <sz val="11"/>
        <color theme="1"/>
        <rFont val="Calibri"/>
        <family val="2"/>
        <scheme val="minor"/>
      </rPr>
      <t>IHBS</t>
    </r>
  </si>
  <si>
    <t>Total Device Power Loss</t>
  </si>
  <si>
    <t>Thermal Resistance</t>
  </si>
  <si>
    <r>
      <t>R</t>
    </r>
    <r>
      <rPr>
        <vertAlign val="subscript"/>
        <sz val="11"/>
        <color theme="1"/>
        <rFont val="Calibri"/>
        <family val="2"/>
      </rPr>
      <t>θ</t>
    </r>
  </si>
  <si>
    <r>
      <rPr>
        <sz val="11"/>
        <color theme="1"/>
        <rFont val="Calibri"/>
        <family val="2"/>
      </rPr>
      <t>°</t>
    </r>
    <r>
      <rPr>
        <sz val="11"/>
        <color theme="1"/>
        <rFont val="Calibri"/>
        <family val="2"/>
        <scheme val="minor"/>
      </rPr>
      <t>C/W</t>
    </r>
  </si>
  <si>
    <t>Estimated Driver Temperature Increase</t>
  </si>
  <si>
    <t>T</t>
  </si>
  <si>
    <t>°C</t>
  </si>
  <si>
    <t>Gate Charge</t>
  </si>
  <si>
    <t>Gate Charge Measurement Voltage</t>
  </si>
  <si>
    <r>
      <t>V</t>
    </r>
    <r>
      <rPr>
        <vertAlign val="subscript"/>
        <sz val="11"/>
        <color theme="1"/>
        <rFont val="Calibri"/>
        <family val="2"/>
        <scheme val="minor"/>
      </rPr>
      <t>QG</t>
    </r>
  </si>
  <si>
    <t>Switch time</t>
  </si>
  <si>
    <t>turn on time</t>
  </si>
  <si>
    <r>
      <t>t</t>
    </r>
    <r>
      <rPr>
        <vertAlign val="subscript"/>
        <sz val="11"/>
        <color theme="1"/>
        <rFont val="Calibri"/>
        <family val="2"/>
        <scheme val="minor"/>
      </rPr>
      <t>ON</t>
    </r>
  </si>
  <si>
    <t>turn off time</t>
  </si>
  <si>
    <r>
      <t>t</t>
    </r>
    <r>
      <rPr>
        <vertAlign val="subscript"/>
        <sz val="11"/>
        <color theme="1"/>
        <rFont val="Calibri"/>
        <family val="2"/>
        <scheme val="minor"/>
      </rPr>
      <t>OFF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</si>
</sst>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4"/>
      <color theme="10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  <scheme val="minor"/>
    </font>
    <font>
      <vertAlign val="subscript"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08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/>
    <xf numFmtId="0" fontId="0" fillId="0" borderId="5" xfId="0" applyBorder="1" applyAlignment="1">
      <alignment wrapText="1"/>
    </xf>
    <xf numFmtId="0" fontId="0" fillId="0" borderId="0" xfId="0" applyBorder="1" applyAlignment="1">
      <alignment wrapText="1"/>
    </xf>
    <xf numFmtId="0" fontId="0" fillId="0" borderId="0" xfId="0" applyBorder="1"/>
    <xf numFmtId="0" fontId="0" fillId="0" borderId="8" xfId="0" applyBorder="1" applyAlignment="1">
      <alignment wrapText="1"/>
    </xf>
    <xf numFmtId="0" fontId="0" fillId="0" borderId="9" xfId="0" applyBorder="1" applyAlignment="1">
      <alignment wrapText="1"/>
    </xf>
    <xf numFmtId="0" fontId="0" fillId="0" borderId="1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10" xfId="0" applyBorder="1" applyAlignment="1">
      <alignment wrapText="1"/>
    </xf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13" xfId="0" applyBorder="1" applyAlignment="1">
      <alignment wrapText="1"/>
    </xf>
    <xf numFmtId="0" fontId="0" fillId="0" borderId="15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14" xfId="0" applyBorder="1"/>
    <xf numFmtId="0" fontId="0" fillId="0" borderId="21" xfId="0" applyBorder="1" applyAlignment="1">
      <alignment wrapText="1"/>
    </xf>
    <xf numFmtId="0" fontId="0" fillId="0" borderId="2" xfId="0" applyBorder="1" applyAlignment="1">
      <alignment wrapText="1"/>
    </xf>
    <xf numFmtId="0" fontId="0" fillId="0" borderId="22" xfId="0" applyBorder="1" applyAlignment="1">
      <alignment wrapText="1"/>
    </xf>
    <xf numFmtId="0" fontId="0" fillId="0" borderId="8" xfId="0" applyFill="1" applyBorder="1" applyAlignment="1">
      <alignment wrapText="1"/>
    </xf>
    <xf numFmtId="0" fontId="0" fillId="0" borderId="2" xfId="0" applyFill="1" applyBorder="1" applyAlignment="1">
      <alignment wrapText="1"/>
    </xf>
    <xf numFmtId="0" fontId="0" fillId="0" borderId="7" xfId="0" applyFill="1" applyBorder="1" applyAlignment="1">
      <alignment wrapText="1"/>
    </xf>
    <xf numFmtId="0" fontId="0" fillId="0" borderId="1" xfId="0" applyFill="1" applyBorder="1" applyAlignment="1">
      <alignment wrapText="1"/>
    </xf>
    <xf numFmtId="0" fontId="0" fillId="0" borderId="9" xfId="0" applyFill="1" applyBorder="1" applyAlignment="1">
      <alignment wrapText="1"/>
    </xf>
    <xf numFmtId="0" fontId="0" fillId="0" borderId="23" xfId="0" applyBorder="1" applyAlignment="1">
      <alignment wrapText="1"/>
    </xf>
    <xf numFmtId="0" fontId="0" fillId="0" borderId="24" xfId="0" applyBorder="1" applyAlignment="1">
      <alignment wrapText="1"/>
    </xf>
    <xf numFmtId="0" fontId="0" fillId="0" borderId="25" xfId="0" applyBorder="1" applyAlignment="1">
      <alignment wrapText="1"/>
    </xf>
    <xf numFmtId="0" fontId="2" fillId="2" borderId="0" xfId="0" applyFont="1" applyFill="1"/>
    <xf numFmtId="0" fontId="1" fillId="0" borderId="26" xfId="0" applyFont="1" applyBorder="1" applyAlignment="1">
      <alignment horizontal="left" wrapText="1"/>
    </xf>
    <xf numFmtId="0" fontId="1" fillId="0" borderId="27" xfId="0" applyFont="1" applyBorder="1" applyAlignment="1">
      <alignment horizontal="left" wrapText="1"/>
    </xf>
    <xf numFmtId="0" fontId="1" fillId="0" borderId="27" xfId="0" applyFont="1" applyFill="1" applyBorder="1" applyAlignment="1">
      <alignment horizontal="left" wrapText="1"/>
    </xf>
    <xf numFmtId="0" fontId="1" fillId="0" borderId="28" xfId="0" applyFont="1" applyBorder="1" applyAlignment="1">
      <alignment horizontal="left" wrapText="1"/>
    </xf>
    <xf numFmtId="0" fontId="3" fillId="2" borderId="0" xfId="0" applyFont="1" applyFill="1"/>
    <xf numFmtId="0" fontId="0" fillId="2" borderId="0" xfId="0" applyFill="1" applyBorder="1" applyAlignment="1">
      <alignment wrapText="1"/>
    </xf>
    <xf numFmtId="0" fontId="0" fillId="0" borderId="15" xfId="0" applyFill="1" applyBorder="1" applyAlignment="1">
      <alignment wrapText="1"/>
    </xf>
    <xf numFmtId="0" fontId="0" fillId="0" borderId="3" xfId="0" applyFill="1" applyBorder="1" applyAlignment="1">
      <alignment wrapText="1"/>
    </xf>
    <xf numFmtId="0" fontId="0" fillId="0" borderId="18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6" fillId="0" borderId="20" xfId="1" applyFont="1" applyFill="1" applyBorder="1" applyAlignment="1">
      <alignment horizontal="left" wrapText="1"/>
    </xf>
    <xf numFmtId="0" fontId="6" fillId="0" borderId="0" xfId="1" applyFont="1" applyFill="1" applyBorder="1" applyAlignment="1">
      <alignment horizontal="left" wrapText="1"/>
    </xf>
    <xf numFmtId="0" fontId="0" fillId="0" borderId="2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0" xfId="0" applyFont="1" applyFill="1" applyBorder="1" applyAlignment="1">
      <alignment horizontal="left"/>
    </xf>
    <xf numFmtId="0" fontId="2" fillId="0" borderId="4" xfId="0" applyFont="1" applyFill="1" applyBorder="1" applyAlignment="1">
      <alignment horizontal="left"/>
    </xf>
    <xf numFmtId="0" fontId="2" fillId="0" borderId="29" xfId="0" applyFont="1" applyFill="1" applyBorder="1" applyAlignment="1">
      <alignment horizontal="left"/>
    </xf>
    <xf numFmtId="0" fontId="2" fillId="0" borderId="3" xfId="0" applyFont="1" applyFill="1" applyBorder="1" applyAlignment="1">
      <alignment horizontal="left"/>
    </xf>
    <xf numFmtId="0" fontId="4" fillId="0" borderId="18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31" xfId="0" applyBorder="1" applyAlignment="1">
      <alignment wrapText="1"/>
    </xf>
    <xf numFmtId="0" fontId="0" fillId="0" borderId="32" xfId="0" applyBorder="1" applyAlignment="1">
      <alignment wrapText="1"/>
    </xf>
    <xf numFmtId="0" fontId="0" fillId="0" borderId="33" xfId="0" applyBorder="1"/>
    <xf numFmtId="0" fontId="0" fillId="3" borderId="0" xfId="0" applyFill="1"/>
    <xf numFmtId="0" fontId="0" fillId="0" borderId="18" xfId="0" applyBorder="1"/>
    <xf numFmtId="0" fontId="0" fillId="3" borderId="14" xfId="0" applyFill="1" applyBorder="1"/>
    <xf numFmtId="0" fontId="0" fillId="0" borderId="30" xfId="0" applyBorder="1"/>
    <xf numFmtId="0" fontId="0" fillId="4" borderId="0" xfId="0" applyFill="1"/>
    <xf numFmtId="0" fontId="0" fillId="0" borderId="20" xfId="0" applyBorder="1" applyAlignment="1">
      <alignment wrapText="1"/>
    </xf>
    <xf numFmtId="0" fontId="0" fillId="3" borderId="0" xfId="0" applyFill="1" applyBorder="1"/>
    <xf numFmtId="0" fontId="0" fillId="0" borderId="4" xfId="0" applyBorder="1"/>
    <xf numFmtId="0" fontId="0" fillId="5" borderId="0" xfId="0" applyFill="1"/>
    <xf numFmtId="0" fontId="0" fillId="0" borderId="20" xfId="0" applyBorder="1"/>
    <xf numFmtId="0" fontId="0" fillId="4" borderId="0" xfId="0" applyFill="1" applyBorder="1"/>
    <xf numFmtId="0" fontId="0" fillId="0" borderId="19" xfId="0" applyFill="1" applyBorder="1" applyAlignment="1">
      <alignment wrapText="1"/>
    </xf>
    <xf numFmtId="0" fontId="0" fillId="0" borderId="29" xfId="0" applyFill="1" applyBorder="1" applyAlignment="1">
      <alignment wrapText="1"/>
    </xf>
    <xf numFmtId="0" fontId="0" fillId="4" borderId="29" xfId="0" applyFill="1" applyBorder="1"/>
    <xf numFmtId="0" fontId="0" fillId="0" borderId="3" xfId="0" applyBorder="1"/>
    <xf numFmtId="0" fontId="0" fillId="5" borderId="29" xfId="0" applyFill="1" applyBorder="1"/>
    <xf numFmtId="0" fontId="8" fillId="0" borderId="3" xfId="0" applyFont="1" applyFill="1" applyBorder="1"/>
    <xf numFmtId="0" fontId="0" fillId="0" borderId="0" xfId="0" applyFill="1" applyBorder="1"/>
    <xf numFmtId="0" fontId="0" fillId="0" borderId="18" xfId="0" applyFill="1" applyBorder="1" applyAlignment="1">
      <alignment wrapText="1"/>
    </xf>
    <xf numFmtId="0" fontId="0" fillId="0" borderId="14" xfId="0" applyFill="1" applyBorder="1" applyAlignment="1">
      <alignment wrapText="1"/>
    </xf>
    <xf numFmtId="0" fontId="0" fillId="5" borderId="14" xfId="0" applyFill="1" applyBorder="1"/>
    <xf numFmtId="0" fontId="0" fillId="0" borderId="0" xfId="0" applyFill="1" applyBorder="1" applyAlignment="1">
      <alignment wrapText="1"/>
    </xf>
    <xf numFmtId="0" fontId="0" fillId="5" borderId="0" xfId="0" applyFill="1" applyBorder="1"/>
    <xf numFmtId="0" fontId="0" fillId="0" borderId="31" xfId="0" applyFill="1" applyBorder="1" applyAlignment="1">
      <alignment wrapText="1"/>
    </xf>
    <xf numFmtId="0" fontId="0" fillId="0" borderId="32" xfId="0" applyFill="1" applyBorder="1" applyAlignment="1">
      <alignment wrapText="1"/>
    </xf>
    <xf numFmtId="0" fontId="0" fillId="3" borderId="32" xfId="0" applyFill="1" applyBorder="1"/>
    <xf numFmtId="0" fontId="0" fillId="0" borderId="32" xfId="0" applyBorder="1"/>
    <xf numFmtId="0" fontId="0" fillId="5" borderId="32" xfId="0" applyFill="1" applyBorder="1"/>
    <xf numFmtId="0" fontId="0" fillId="0" borderId="0" xfId="0" applyFill="1"/>
    <xf numFmtId="0" fontId="0" fillId="0" borderId="31" xfId="0" applyBorder="1"/>
    <xf numFmtId="0" fontId="9" fillId="0" borderId="20" xfId="0" applyFont="1" applyBorder="1"/>
    <xf numFmtId="0" fontId="8" fillId="0" borderId="4" xfId="0" applyFont="1" applyFill="1" applyBorder="1"/>
    <xf numFmtId="0" fontId="8" fillId="0" borderId="0" xfId="0" applyFont="1" applyFill="1" applyBorder="1"/>
    <xf numFmtId="0" fontId="9" fillId="3" borderId="0" xfId="0" applyFont="1" applyFill="1" applyBorder="1"/>
    <xf numFmtId="0" fontId="0" fillId="0" borderId="20" xfId="0" applyFill="1" applyBorder="1"/>
    <xf numFmtId="0" fontId="9" fillId="4" borderId="0" xfId="0" applyFont="1" applyFill="1" applyBorder="1"/>
    <xf numFmtId="0" fontId="0" fillId="0" borderId="19" xfId="0" applyFill="1" applyBorder="1"/>
    <xf numFmtId="0" fontId="0" fillId="0" borderId="29" xfId="0" applyFill="1" applyBorder="1"/>
    <xf numFmtId="0" fontId="9" fillId="3" borderId="29" xfId="0" applyFont="1" applyFill="1" applyBorder="1"/>
    <xf numFmtId="0" fontId="9" fillId="5" borderId="14" xfId="0" applyFont="1" applyFill="1" applyBorder="1"/>
    <xf numFmtId="0" fontId="8" fillId="0" borderId="30" xfId="0" applyFont="1" applyFill="1" applyBorder="1"/>
    <xf numFmtId="0" fontId="9" fillId="5" borderId="0" xfId="0" applyFont="1" applyFill="1" applyBorder="1"/>
    <xf numFmtId="0" fontId="0" fillId="0" borderId="19" xfId="0" applyBorder="1"/>
    <xf numFmtId="0" fontId="0" fillId="0" borderId="29" xfId="0" applyBorder="1"/>
    <xf numFmtId="0" fontId="0" fillId="0" borderId="3" xfId="0" applyFill="1" applyBorder="1"/>
    <xf numFmtId="0" fontId="9" fillId="5" borderId="29" xfId="0" applyFont="1" applyFill="1" applyBorder="1"/>
  </cellXfs>
  <cellStyles count="2">
    <cellStyle name="Hyperlink" xfId="1" builtinId="8"/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4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159690</xdr:colOff>
      <xdr:row>7</xdr:row>
      <xdr:rowOff>87724</xdr:rowOff>
    </xdr:from>
    <xdr:to>
      <xdr:col>22</xdr:col>
      <xdr:colOff>460374</xdr:colOff>
      <xdr:row>10</xdr:row>
      <xdr:rowOff>245053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51D3760-6F86-41B6-BE5F-924A00FC99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780690" y="2287999"/>
          <a:ext cx="5787084" cy="311325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76200</xdr:rowOff>
    </xdr:from>
    <xdr:to>
      <xdr:col>0</xdr:col>
      <xdr:colOff>1949450</xdr:colOff>
      <xdr:row>17</xdr:row>
      <xdr:rowOff>177800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81752AF-D9DB-450D-BE34-300CC60109DA}"/>
            </a:ext>
          </a:extLst>
        </xdr:cNvPr>
        <xdr:cNvSpPr txBox="1"/>
      </xdr:nvSpPr>
      <xdr:spPr>
        <a:xfrm>
          <a:off x="0" y="1073150"/>
          <a:ext cx="1949450" cy="3517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/>
            <a:t>Recommendations</a:t>
          </a:r>
        </a:p>
        <a:p>
          <a:r>
            <a:rPr lang="en-US" sz="1100" b="0" u="none" baseline="0"/>
            <a:t>In order to stay withing the target bootstrap ripple, select a low variance capcitor, such as X7R, sized in order to meet the recommended size after derating</a:t>
          </a:r>
        </a:p>
        <a:p>
          <a:endParaRPr lang="en-US" sz="1100" b="0" u="none" baseline="0"/>
        </a:p>
        <a:p>
          <a:r>
            <a:rPr lang="en-US" sz="1100" b="0" u="none" baseline="0"/>
            <a:t>Bootstrap resistance is only necessary when using an external bootstrap diode. Select fast recovery diode rated higher than max bootstrap voltage</a:t>
          </a:r>
        </a:p>
        <a:p>
          <a:endParaRPr lang="en-US" sz="1100" b="0" u="none" baseline="0"/>
        </a:p>
        <a:p>
          <a:r>
            <a:rPr lang="en-US" sz="1100" b="0" u="none" baseline="0"/>
            <a:t>A VDD to VSS bypass capacitor at least 10x the size of the bootstrap capacitor should be placed as close as possible to the VDD pin</a:t>
          </a:r>
          <a:endParaRPr lang="en-US" sz="1100" b="1" u="sng"/>
        </a:p>
      </xdr:txBody>
    </xdr:sp>
    <xdr:clientData/>
  </xdr:twoCellAnchor>
  <xdr:twoCellAnchor editAs="oneCell">
    <xdr:from>
      <xdr:col>6</xdr:col>
      <xdr:colOff>69850</xdr:colOff>
      <xdr:row>13</xdr:row>
      <xdr:rowOff>6350</xdr:rowOff>
    </xdr:from>
    <xdr:to>
      <xdr:col>7</xdr:col>
      <xdr:colOff>238416</xdr:colOff>
      <xdr:row>15</xdr:row>
      <xdr:rowOff>73114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40D997F-252B-4130-986F-7E368D25ED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84850" y="3479800"/>
          <a:ext cx="2086266" cy="638264"/>
        </a:xfrm>
        <a:prstGeom prst="rect">
          <a:avLst/>
        </a:prstGeom>
      </xdr:spPr>
    </xdr:pic>
    <xdr:clientData/>
  </xdr:twoCellAnchor>
  <xdr:twoCellAnchor editAs="oneCell">
    <xdr:from>
      <xdr:col>6</xdr:col>
      <xdr:colOff>82550</xdr:colOff>
      <xdr:row>10</xdr:row>
      <xdr:rowOff>12700</xdr:rowOff>
    </xdr:from>
    <xdr:to>
      <xdr:col>11</xdr:col>
      <xdr:colOff>64021</xdr:colOff>
      <xdr:row>11</xdr:row>
      <xdr:rowOff>358853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B199C87-0B78-4A18-830B-FE6794E062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97550" y="2622550"/>
          <a:ext cx="3734321" cy="562053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8</xdr:col>
      <xdr:colOff>260698</xdr:colOff>
      <xdr:row>8</xdr:row>
      <xdr:rowOff>114345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5F23D19-BE8D-4CE4-A6C9-D91466ECB1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715000" y="1974850"/>
          <a:ext cx="2495898" cy="323895"/>
        </a:xfrm>
        <a:prstGeom prst="rect">
          <a:avLst/>
        </a:prstGeom>
      </xdr:spPr>
    </xdr:pic>
    <xdr:clientData/>
  </xdr:twoCellAnchor>
  <xdr:twoCellAnchor editAs="oneCell">
    <xdr:from>
      <xdr:col>10</xdr:col>
      <xdr:colOff>590550</xdr:colOff>
      <xdr:row>2</xdr:row>
      <xdr:rowOff>25400</xdr:rowOff>
    </xdr:from>
    <xdr:to>
      <xdr:col>12</xdr:col>
      <xdr:colOff>362224</xdr:colOff>
      <xdr:row>4</xdr:row>
      <xdr:rowOff>228712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B80B90E-31C9-420B-9498-E6DF8DA7D7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448800" y="425450"/>
          <a:ext cx="1962424" cy="80021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63500</xdr:colOff>
      <xdr:row>4</xdr:row>
      <xdr:rowOff>63500</xdr:rowOff>
    </xdr:from>
    <xdr:to>
      <xdr:col>0</xdr:col>
      <xdr:colOff>2019300</xdr:colOff>
      <xdr:row>15</xdr:row>
      <xdr:rowOff>165100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2711A7C-DBD2-4BC1-9D55-566B8BB83D06}"/>
            </a:ext>
          </a:extLst>
        </xdr:cNvPr>
        <xdr:cNvSpPr txBox="1"/>
      </xdr:nvSpPr>
      <xdr:spPr>
        <a:xfrm>
          <a:off x="63500" y="882650"/>
          <a:ext cx="1955800" cy="2381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/>
            <a:t>Recommendations</a:t>
          </a:r>
        </a:p>
        <a:p>
          <a:r>
            <a:rPr lang="en-US" sz="1100" b="0" u="none" baseline="0"/>
            <a:t>Driver power dissipation is estimeated as </a:t>
          </a:r>
        </a:p>
        <a:p>
          <a:endParaRPr lang="en-US" sz="1100" b="0" u="none" baseline="0"/>
        </a:p>
        <a:p>
          <a:r>
            <a:rPr lang="en-US" sz="1100" b="0" u="none" baseline="0"/>
            <a:t>Temperature increase estimate is based on the datasheet thermal resistance. This is to give a simple estimate as actual thermal resistances will depend on the board layout.</a:t>
          </a:r>
          <a:endParaRPr lang="en-US" sz="1100" b="1" u="none"/>
        </a:p>
      </xdr:txBody>
    </xdr:sp>
    <xdr:clientData/>
  </xdr:twoCellAnchor>
  <xdr:twoCellAnchor editAs="oneCell">
    <xdr:from>
      <xdr:col>6</xdr:col>
      <xdr:colOff>127000</xdr:colOff>
      <xdr:row>8</xdr:row>
      <xdr:rowOff>82550</xdr:rowOff>
    </xdr:from>
    <xdr:to>
      <xdr:col>10</xdr:col>
      <xdr:colOff>1226122</xdr:colOff>
      <xdr:row>9</xdr:row>
      <xdr:rowOff>158790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9106955-3D23-4A0D-8F33-04CB3897D6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78500" y="1739900"/>
          <a:ext cx="4096322" cy="285790"/>
        </a:xfrm>
        <a:prstGeom prst="rect">
          <a:avLst/>
        </a:prstGeom>
      </xdr:spPr>
    </xdr:pic>
    <xdr:clientData/>
  </xdr:twoCellAnchor>
  <xdr:twoCellAnchor editAs="oneCell">
    <xdr:from>
      <xdr:col>6</xdr:col>
      <xdr:colOff>114300</xdr:colOff>
      <xdr:row>11</xdr:row>
      <xdr:rowOff>57150</xdr:rowOff>
    </xdr:from>
    <xdr:to>
      <xdr:col>7</xdr:col>
      <xdr:colOff>317500</xdr:colOff>
      <xdr:row>12</xdr:row>
      <xdr:rowOff>133350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8FDF33D-E25B-4329-9BAA-391C3837E1F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r="58255" b="14"/>
        <a:stretch/>
      </xdr:blipFill>
      <xdr:spPr>
        <a:xfrm>
          <a:off x="5765800" y="2343150"/>
          <a:ext cx="2362200" cy="285750"/>
        </a:xfrm>
        <a:prstGeom prst="rect">
          <a:avLst/>
        </a:prstGeom>
      </xdr:spPr>
    </xdr:pic>
    <xdr:clientData/>
  </xdr:twoCellAnchor>
  <xdr:twoCellAnchor editAs="oneCell">
    <xdr:from>
      <xdr:col>6</xdr:col>
      <xdr:colOff>95250</xdr:colOff>
      <xdr:row>3</xdr:row>
      <xdr:rowOff>101600</xdr:rowOff>
    </xdr:from>
    <xdr:to>
      <xdr:col>12</xdr:col>
      <xdr:colOff>48336</xdr:colOff>
      <xdr:row>6</xdr:row>
      <xdr:rowOff>44530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92CF464-B516-40EC-82AE-C7428464EF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746750" y="711200"/>
          <a:ext cx="5096586" cy="571580"/>
        </a:xfrm>
        <a:prstGeom prst="rect">
          <a:avLst/>
        </a:prstGeom>
      </xdr:spPr>
    </xdr:pic>
    <xdr:clientData/>
  </xdr:twoCellAnchor>
  <xdr:twoCellAnchor editAs="oneCell">
    <xdr:from>
      <xdr:col>6</xdr:col>
      <xdr:colOff>133350</xdr:colOff>
      <xdr:row>14</xdr:row>
      <xdr:rowOff>12700</xdr:rowOff>
    </xdr:from>
    <xdr:to>
      <xdr:col>10</xdr:col>
      <xdr:colOff>213154</xdr:colOff>
      <xdr:row>15</xdr:row>
      <xdr:rowOff>174677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D653DE5-5B3D-4061-9DF8-6B0F7BFC82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784850" y="2901950"/>
          <a:ext cx="3077004" cy="37152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4</xdr:row>
      <xdr:rowOff>120650</xdr:rowOff>
    </xdr:from>
    <xdr:to>
      <xdr:col>0</xdr:col>
      <xdr:colOff>1828800</xdr:colOff>
      <xdr:row>9</xdr:row>
      <xdr:rowOff>190500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E4F3469-F966-4F24-A575-CE9C6ABCBC77}"/>
            </a:ext>
          </a:extLst>
        </xdr:cNvPr>
        <xdr:cNvSpPr txBox="1"/>
      </xdr:nvSpPr>
      <xdr:spPr>
        <a:xfrm>
          <a:off x="152400" y="939800"/>
          <a:ext cx="1676400" cy="11239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/>
            <a:t>Recommendations</a:t>
          </a:r>
          <a:endParaRPr lang="en-US" sz="1100" b="0" u="none"/>
        </a:p>
        <a:p>
          <a:r>
            <a:rPr lang="en-US" sz="1100" b="0" u="none" baseline="0"/>
            <a:t>The switching time calculated on this page is an only estimate intended to aid in system design. </a:t>
          </a:r>
          <a:endParaRPr lang="en-US" sz="1100" b="1" u="sng"/>
        </a:p>
      </xdr:txBody>
    </xdr:sp>
    <xdr:clientData/>
  </xdr:twoCellAnchor>
  <xdr:twoCellAnchor editAs="oneCell">
    <xdr:from>
      <xdr:col>6</xdr:col>
      <xdr:colOff>57150</xdr:colOff>
      <xdr:row>4</xdr:row>
      <xdr:rowOff>51518</xdr:rowOff>
    </xdr:from>
    <xdr:to>
      <xdr:col>11</xdr:col>
      <xdr:colOff>346710</xdr:colOff>
      <xdr:row>7</xdr:row>
      <xdr:rowOff>165219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F0E2A89-065A-42B3-A5DB-08A613D102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70600" y="870668"/>
          <a:ext cx="3934460" cy="7423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ti.com/lit/an/slua887/slua887.pdf?ts=1655134470967&amp;ref_url=https%253A%252F%252Fwww.google.com%252F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94C18-845A-45C5-8AAB-9D19E39328C2}">
  <dimension ref="A1:W36"/>
  <sheetViews>
    <sheetView tabSelected="1" zoomScaleNormal="100" workbookViewId="0">
      <pane ySplit="6" topLeftCell="A7" activePane="bottomLeft" state="frozen"/>
      <selection pane="bottomLeft" activeCell="F31" sqref="F31"/>
    </sheetView>
  </sheetViews>
  <sheetFormatPr defaultRowHeight="14.5" x14ac:dyDescent="0.35"/>
  <cols>
    <col min="1" max="1" width="19.81640625" style="5" customWidth="1"/>
    <col min="2" max="3" width="16.81640625" style="5" customWidth="1"/>
    <col min="4" max="4" width="12.08984375" style="5" customWidth="1"/>
    <col min="5" max="5" width="27.54296875" style="4" customWidth="1"/>
    <col min="6" max="6" width="31.54296875" style="5" customWidth="1"/>
    <col min="7" max="7" width="15.08984375" style="5" customWidth="1"/>
    <col min="8" max="8" width="22.6328125" style="5" customWidth="1"/>
    <col min="9" max="9" width="11.6328125" style="4" customWidth="1"/>
    <col min="10" max="10" width="23.6328125" style="5" customWidth="1"/>
  </cols>
  <sheetData>
    <row r="1" spans="1:23" ht="26" x14ac:dyDescent="0.6">
      <c r="A1" s="34" t="s">
        <v>0</v>
      </c>
      <c r="B1" s="29"/>
      <c r="C1" s="29"/>
      <c r="D1" s="29"/>
      <c r="E1" s="29"/>
      <c r="F1" s="35"/>
      <c r="G1" s="35"/>
      <c r="H1" s="35"/>
      <c r="I1" s="35"/>
      <c r="J1" s="35"/>
    </row>
    <row r="2" spans="1:23" ht="21" x14ac:dyDescent="0.5">
      <c r="A2" s="49" t="s">
        <v>12</v>
      </c>
      <c r="B2" s="49"/>
      <c r="C2" s="49"/>
      <c r="D2" s="49"/>
      <c r="E2" s="49"/>
      <c r="F2" s="49"/>
      <c r="G2" s="49"/>
      <c r="H2" s="49"/>
      <c r="I2" s="49"/>
      <c r="J2" s="50"/>
    </row>
    <row r="3" spans="1:23" ht="21" customHeight="1" thickBot="1" x14ac:dyDescent="0.55000000000000004">
      <c r="A3" s="51" t="s">
        <v>65</v>
      </c>
      <c r="B3" s="51"/>
      <c r="C3" s="51"/>
      <c r="D3" s="51"/>
      <c r="E3" s="51"/>
      <c r="F3" s="51"/>
      <c r="G3" s="51"/>
      <c r="H3" s="51"/>
      <c r="I3" s="51"/>
      <c r="J3" s="52"/>
    </row>
    <row r="5" spans="1:23" ht="15" thickBot="1" x14ac:dyDescent="0.4"/>
    <row r="6" spans="1:23" s="1" customFormat="1" ht="32" customHeight="1" thickBot="1" x14ac:dyDescent="0.4">
      <c r="A6" s="30" t="s">
        <v>2</v>
      </c>
      <c r="B6" s="30" t="s">
        <v>3</v>
      </c>
      <c r="C6" s="31" t="s">
        <v>4</v>
      </c>
      <c r="D6" s="32" t="s">
        <v>5</v>
      </c>
      <c r="E6" s="32" t="s">
        <v>6</v>
      </c>
      <c r="F6" s="32" t="s">
        <v>7</v>
      </c>
      <c r="G6" s="31" t="s">
        <v>8</v>
      </c>
      <c r="H6" s="30" t="s">
        <v>9</v>
      </c>
      <c r="I6" s="31" t="s">
        <v>10</v>
      </c>
      <c r="J6" s="33" t="s">
        <v>11</v>
      </c>
    </row>
    <row r="7" spans="1:23" ht="58" x14ac:dyDescent="0.35">
      <c r="A7" s="56" t="s">
        <v>14</v>
      </c>
      <c r="B7" s="6" t="s">
        <v>15</v>
      </c>
      <c r="C7" s="6" t="s">
        <v>16</v>
      </c>
      <c r="D7" s="6" t="s">
        <v>17</v>
      </c>
      <c r="E7" s="6" t="s">
        <v>73</v>
      </c>
      <c r="F7" s="21" t="s">
        <v>68</v>
      </c>
      <c r="G7" s="6" t="s">
        <v>18</v>
      </c>
      <c r="H7" s="15" t="s">
        <v>19</v>
      </c>
      <c r="I7" s="3" t="s">
        <v>13</v>
      </c>
      <c r="J7" s="26"/>
      <c r="N7" s="53" t="s">
        <v>1</v>
      </c>
      <c r="O7" s="54"/>
      <c r="P7" s="54"/>
      <c r="Q7" s="54"/>
      <c r="R7" s="54"/>
      <c r="S7" s="54"/>
      <c r="T7" s="54"/>
      <c r="U7" s="54"/>
      <c r="V7" s="54"/>
      <c r="W7" s="55"/>
    </row>
    <row r="8" spans="1:23" ht="87" x14ac:dyDescent="0.35">
      <c r="A8" s="40"/>
      <c r="B8" s="9" t="s">
        <v>20</v>
      </c>
      <c r="C8" s="9" t="s">
        <v>25</v>
      </c>
      <c r="D8" s="23" t="s">
        <v>17</v>
      </c>
      <c r="E8" s="23" t="s">
        <v>27</v>
      </c>
      <c r="F8" s="9" t="s">
        <v>74</v>
      </c>
      <c r="G8" s="9" t="s">
        <v>22</v>
      </c>
      <c r="H8" s="11" t="s">
        <v>26</v>
      </c>
      <c r="I8" s="10" t="s">
        <v>13</v>
      </c>
      <c r="J8" s="27"/>
      <c r="N8" s="43"/>
      <c r="O8" s="44"/>
      <c r="P8" s="44"/>
      <c r="Q8" s="44"/>
      <c r="R8" s="44"/>
      <c r="S8" s="44"/>
      <c r="T8" s="44"/>
      <c r="U8" s="44"/>
      <c r="V8" s="44"/>
      <c r="W8" s="45"/>
    </row>
    <row r="9" spans="1:23" ht="102" thickBot="1" x14ac:dyDescent="0.4">
      <c r="A9" s="57"/>
      <c r="B9" s="19" t="s">
        <v>23</v>
      </c>
      <c r="C9" s="20" t="s">
        <v>63</v>
      </c>
      <c r="D9" s="22" t="s">
        <v>17</v>
      </c>
      <c r="E9" s="19"/>
      <c r="F9" s="22" t="s">
        <v>28</v>
      </c>
      <c r="G9" s="19" t="s">
        <v>24</v>
      </c>
      <c r="H9" s="16" t="s">
        <v>26</v>
      </c>
      <c r="I9" s="14" t="s">
        <v>13</v>
      </c>
      <c r="J9" s="14"/>
      <c r="N9" s="43"/>
      <c r="O9" s="44"/>
      <c r="P9" s="44"/>
      <c r="Q9" s="44"/>
      <c r="R9" s="44"/>
      <c r="S9" s="44"/>
      <c r="T9" s="44"/>
      <c r="U9" s="44"/>
      <c r="V9" s="44"/>
      <c r="W9" s="45"/>
    </row>
    <row r="10" spans="1:23" ht="43.5" x14ac:dyDescent="0.35">
      <c r="A10" s="38" t="s">
        <v>29</v>
      </c>
      <c r="B10" s="6" t="s">
        <v>30</v>
      </c>
      <c r="C10" s="6" t="s">
        <v>64</v>
      </c>
      <c r="D10" s="6" t="s">
        <v>17</v>
      </c>
      <c r="E10" s="21" t="s">
        <v>66</v>
      </c>
      <c r="F10" s="21" t="s">
        <v>69</v>
      </c>
      <c r="G10" s="6" t="s">
        <v>31</v>
      </c>
      <c r="H10" s="36" t="s">
        <v>70</v>
      </c>
      <c r="I10" s="12" t="s">
        <v>13</v>
      </c>
      <c r="J10" s="28"/>
      <c r="N10" s="43"/>
      <c r="O10" s="44"/>
      <c r="P10" s="44"/>
      <c r="Q10" s="44"/>
      <c r="R10" s="44"/>
      <c r="S10" s="44"/>
      <c r="T10" s="44"/>
      <c r="U10" s="44"/>
      <c r="V10" s="44"/>
      <c r="W10" s="45"/>
    </row>
    <row r="11" spans="1:23" ht="44" thickBot="1" x14ac:dyDescent="0.4">
      <c r="A11" s="58"/>
      <c r="B11" s="19" t="s">
        <v>32</v>
      </c>
      <c r="C11" s="19" t="s">
        <v>45</v>
      </c>
      <c r="D11" s="19" t="s">
        <v>17</v>
      </c>
      <c r="E11" s="22" t="s">
        <v>67</v>
      </c>
      <c r="F11" s="22" t="s">
        <v>68</v>
      </c>
      <c r="G11" s="19" t="s">
        <v>31</v>
      </c>
      <c r="H11" s="37" t="s">
        <v>70</v>
      </c>
      <c r="I11" s="14" t="s">
        <v>13</v>
      </c>
      <c r="J11" s="14"/>
      <c r="N11" s="43"/>
      <c r="O11" s="44"/>
      <c r="P11" s="44"/>
      <c r="Q11" s="44"/>
      <c r="R11" s="44"/>
      <c r="S11" s="44"/>
      <c r="T11" s="44"/>
      <c r="U11" s="44"/>
      <c r="V11" s="44"/>
      <c r="W11" s="45"/>
    </row>
    <row r="12" spans="1:23" x14ac:dyDescent="0.35">
      <c r="A12" s="40" t="s">
        <v>53</v>
      </c>
      <c r="B12" s="8" t="s">
        <v>33</v>
      </c>
      <c r="C12" s="8" t="s">
        <v>46</v>
      </c>
      <c r="D12" s="8" t="s">
        <v>21</v>
      </c>
      <c r="E12" s="24" t="s">
        <v>51</v>
      </c>
      <c r="F12" s="8"/>
      <c r="G12" s="8" t="s">
        <v>34</v>
      </c>
      <c r="H12" s="12" t="s">
        <v>35</v>
      </c>
      <c r="I12" s="12" t="s">
        <v>13</v>
      </c>
      <c r="J12" s="28"/>
      <c r="N12" s="43"/>
      <c r="O12" s="44"/>
      <c r="P12" s="44"/>
      <c r="Q12" s="44"/>
      <c r="R12" s="44"/>
      <c r="S12" s="44"/>
      <c r="T12" s="44"/>
      <c r="U12" s="44"/>
      <c r="V12" s="44"/>
      <c r="W12" s="45"/>
    </row>
    <row r="13" spans="1:23" ht="29.5" thickBot="1" x14ac:dyDescent="0.4">
      <c r="A13" s="40"/>
      <c r="B13" s="9" t="s">
        <v>36</v>
      </c>
      <c r="C13" s="9" t="s">
        <v>46</v>
      </c>
      <c r="D13" s="9" t="s">
        <v>21</v>
      </c>
      <c r="E13" s="23" t="s">
        <v>52</v>
      </c>
      <c r="F13" s="9"/>
      <c r="G13" s="9" t="s">
        <v>37</v>
      </c>
      <c r="H13" s="11" t="s">
        <v>71</v>
      </c>
      <c r="I13" s="11" t="s">
        <v>13</v>
      </c>
      <c r="J13" s="27"/>
      <c r="N13" s="46"/>
      <c r="O13" s="47"/>
      <c r="P13" s="47"/>
      <c r="Q13" s="47"/>
      <c r="R13" s="47"/>
      <c r="S13" s="47"/>
      <c r="T13" s="47"/>
      <c r="U13" s="47"/>
      <c r="V13" s="47"/>
      <c r="W13" s="48"/>
    </row>
    <row r="14" spans="1:23" x14ac:dyDescent="0.35">
      <c r="A14" s="40"/>
      <c r="B14" s="9" t="s">
        <v>38</v>
      </c>
      <c r="C14" s="9" t="s">
        <v>46</v>
      </c>
      <c r="D14" s="9" t="s">
        <v>21</v>
      </c>
      <c r="E14" s="23" t="s">
        <v>51</v>
      </c>
      <c r="F14" s="9"/>
      <c r="G14" s="9" t="s">
        <v>39</v>
      </c>
      <c r="H14" s="11" t="s">
        <v>40</v>
      </c>
      <c r="I14" s="11" t="s">
        <v>13</v>
      </c>
      <c r="J14" s="27"/>
      <c r="N14" s="2"/>
      <c r="O14" s="2"/>
      <c r="P14" s="2"/>
      <c r="Q14" s="2"/>
      <c r="R14" s="2"/>
      <c r="S14" s="2"/>
      <c r="T14" s="2"/>
    </row>
    <row r="15" spans="1:23" ht="29.5" thickBot="1" x14ac:dyDescent="0.4">
      <c r="A15" s="57"/>
      <c r="B15" s="19" t="s">
        <v>41</v>
      </c>
      <c r="C15" s="20" t="s">
        <v>46</v>
      </c>
      <c r="D15" s="19" t="s">
        <v>21</v>
      </c>
      <c r="E15" s="22" t="s">
        <v>52</v>
      </c>
      <c r="F15" s="19"/>
      <c r="G15" s="19" t="s">
        <v>42</v>
      </c>
      <c r="H15" s="18" t="s">
        <v>72</v>
      </c>
      <c r="I15" s="14" t="s">
        <v>13</v>
      </c>
      <c r="J15" s="14"/>
      <c r="N15" s="2"/>
      <c r="O15" s="2"/>
      <c r="P15" s="2"/>
      <c r="Q15" s="2"/>
      <c r="R15" s="2"/>
      <c r="S15" s="2"/>
      <c r="T15" s="2"/>
    </row>
    <row r="16" spans="1:23" ht="58" x14ac:dyDescent="0.35">
      <c r="A16" s="38" t="s">
        <v>43</v>
      </c>
      <c r="B16" s="6" t="s">
        <v>54</v>
      </c>
      <c r="C16" s="6" t="s">
        <v>58</v>
      </c>
      <c r="D16" s="6" t="s">
        <v>21</v>
      </c>
      <c r="E16" s="21" t="s">
        <v>44</v>
      </c>
      <c r="F16" s="6"/>
      <c r="G16" s="6" t="s">
        <v>47</v>
      </c>
      <c r="H16" s="12" t="s">
        <v>59</v>
      </c>
      <c r="I16" s="13" t="s">
        <v>13</v>
      </c>
      <c r="J16" s="28"/>
      <c r="N16" s="2"/>
      <c r="O16" s="2"/>
      <c r="P16" s="2"/>
      <c r="Q16" s="2"/>
      <c r="R16" s="2"/>
      <c r="S16" s="2"/>
      <c r="T16" s="2"/>
    </row>
    <row r="17" spans="1:20" ht="58" x14ac:dyDescent="0.35">
      <c r="A17" s="39"/>
      <c r="B17" s="8" t="s">
        <v>55</v>
      </c>
      <c r="C17" s="8" t="s">
        <v>58</v>
      </c>
      <c r="D17" s="8" t="s">
        <v>21</v>
      </c>
      <c r="E17" s="25" t="s">
        <v>44</v>
      </c>
      <c r="F17" s="8"/>
      <c r="G17" s="8" t="s">
        <v>49</v>
      </c>
      <c r="H17" s="12" t="s">
        <v>60</v>
      </c>
      <c r="I17" s="10" t="s">
        <v>13</v>
      </c>
      <c r="J17" s="27"/>
      <c r="N17" s="2"/>
      <c r="O17" s="2"/>
      <c r="P17" s="2"/>
      <c r="Q17" s="2"/>
      <c r="R17" s="2"/>
      <c r="S17" s="2"/>
      <c r="T17" s="2"/>
    </row>
    <row r="18" spans="1:20" ht="58" x14ac:dyDescent="0.35">
      <c r="A18" s="39"/>
      <c r="B18" s="9" t="s">
        <v>56</v>
      </c>
      <c r="C18" s="9" t="s">
        <v>58</v>
      </c>
      <c r="D18" s="9" t="s">
        <v>21</v>
      </c>
      <c r="E18" s="23" t="s">
        <v>44</v>
      </c>
      <c r="F18" s="9"/>
      <c r="G18" s="9" t="s">
        <v>48</v>
      </c>
      <c r="H18" s="11" t="s">
        <v>61</v>
      </c>
      <c r="I18" s="10" t="s">
        <v>13</v>
      </c>
      <c r="J18" s="27"/>
      <c r="N18" s="2"/>
      <c r="O18" s="2"/>
      <c r="P18" s="2"/>
      <c r="Q18" s="2"/>
      <c r="R18" s="2"/>
      <c r="S18" s="2"/>
      <c r="T18" s="2"/>
    </row>
    <row r="19" spans="1:20" ht="58.5" thickBot="1" x14ac:dyDescent="0.4">
      <c r="A19" s="40"/>
      <c r="B19" s="7" t="s">
        <v>57</v>
      </c>
      <c r="C19" s="7" t="s">
        <v>58</v>
      </c>
      <c r="D19" s="7" t="s">
        <v>21</v>
      </c>
      <c r="E19" s="25" t="s">
        <v>44</v>
      </c>
      <c r="F19" s="7"/>
      <c r="G19" s="7" t="s">
        <v>50</v>
      </c>
      <c r="H19" s="13" t="s">
        <v>62</v>
      </c>
      <c r="I19" s="10" t="s">
        <v>13</v>
      </c>
      <c r="J19" s="13"/>
      <c r="N19" s="2"/>
      <c r="O19" s="2"/>
      <c r="P19" s="2"/>
      <c r="Q19" s="2"/>
      <c r="R19" s="2"/>
      <c r="S19" s="2"/>
      <c r="T19" s="2"/>
    </row>
    <row r="20" spans="1:20" x14ac:dyDescent="0.35">
      <c r="A20" s="17"/>
      <c r="B20" s="17"/>
      <c r="C20" s="17"/>
      <c r="D20" s="17"/>
      <c r="E20" s="17"/>
      <c r="F20" s="17"/>
      <c r="G20" s="17"/>
      <c r="H20" s="17"/>
      <c r="I20" s="17"/>
      <c r="J20" s="17"/>
      <c r="N20" s="2"/>
      <c r="O20" s="2"/>
      <c r="P20" s="2"/>
      <c r="Q20" s="2"/>
      <c r="R20" s="2"/>
      <c r="S20" s="2"/>
      <c r="T20" s="2"/>
    </row>
    <row r="21" spans="1:20" ht="18.5" x14ac:dyDescent="0.45">
      <c r="A21" s="41" t="s">
        <v>75</v>
      </c>
      <c r="B21" s="42"/>
      <c r="C21" s="42"/>
      <c r="D21" s="42"/>
      <c r="E21" s="42"/>
      <c r="F21" s="42"/>
      <c r="G21" s="42"/>
      <c r="H21" s="42"/>
      <c r="I21" s="42"/>
      <c r="J21" s="42"/>
      <c r="N21" s="2"/>
      <c r="O21" s="2"/>
      <c r="P21" s="2"/>
      <c r="Q21" s="2"/>
      <c r="R21" s="2"/>
      <c r="S21" s="2"/>
      <c r="T21" s="2"/>
    </row>
    <row r="22" spans="1:20" x14ac:dyDescent="0.35">
      <c r="E22" s="5"/>
      <c r="I22" s="5"/>
      <c r="N22" s="2"/>
      <c r="O22" s="2"/>
      <c r="P22" s="2"/>
      <c r="Q22" s="2"/>
      <c r="R22" s="2"/>
      <c r="S22" s="2"/>
      <c r="T22" s="2"/>
    </row>
    <row r="23" spans="1:20" x14ac:dyDescent="0.35">
      <c r="E23" s="5"/>
      <c r="I23" s="5"/>
      <c r="N23" s="2"/>
      <c r="O23" s="2"/>
      <c r="P23" s="2"/>
      <c r="Q23" s="2"/>
      <c r="R23" s="2"/>
      <c r="S23" s="2"/>
      <c r="T23" s="2"/>
    </row>
    <row r="24" spans="1:20" x14ac:dyDescent="0.35">
      <c r="E24" s="5"/>
      <c r="I24" s="5"/>
      <c r="N24" s="2"/>
      <c r="O24" s="2"/>
      <c r="P24" s="2"/>
      <c r="Q24" s="2"/>
      <c r="R24" s="2"/>
      <c r="S24" s="2"/>
      <c r="T24" s="2"/>
    </row>
    <row r="25" spans="1:20" x14ac:dyDescent="0.35">
      <c r="E25" s="5"/>
      <c r="I25" s="5"/>
      <c r="N25" s="2"/>
      <c r="O25" s="2"/>
      <c r="P25" s="2"/>
      <c r="Q25" s="2"/>
      <c r="R25" s="2"/>
      <c r="S25" s="2"/>
      <c r="T25" s="2"/>
    </row>
    <row r="26" spans="1:20" x14ac:dyDescent="0.35">
      <c r="E26" s="5"/>
      <c r="I26" s="5"/>
      <c r="N26" s="2"/>
      <c r="O26" s="2"/>
      <c r="P26" s="2"/>
      <c r="Q26" s="2"/>
      <c r="R26" s="2"/>
      <c r="S26" s="2"/>
      <c r="T26" s="2"/>
    </row>
    <row r="27" spans="1:20" x14ac:dyDescent="0.35">
      <c r="E27" s="5"/>
      <c r="I27" s="5"/>
    </row>
    <row r="28" spans="1:20" x14ac:dyDescent="0.35">
      <c r="E28" s="5"/>
      <c r="I28" s="5"/>
    </row>
    <row r="29" spans="1:20" x14ac:dyDescent="0.35">
      <c r="E29" s="5"/>
      <c r="I29" s="5"/>
    </row>
    <row r="30" spans="1:20" x14ac:dyDescent="0.35">
      <c r="E30" s="5"/>
      <c r="I30" s="5"/>
    </row>
    <row r="31" spans="1:20" x14ac:dyDescent="0.35">
      <c r="E31" s="5"/>
      <c r="I31" s="5"/>
    </row>
    <row r="32" spans="1:20" x14ac:dyDescent="0.35">
      <c r="E32" s="5"/>
      <c r="I32" s="5"/>
    </row>
    <row r="33" spans="5:9" x14ac:dyDescent="0.35">
      <c r="E33" s="5"/>
      <c r="I33" s="5"/>
    </row>
    <row r="34" spans="5:9" x14ac:dyDescent="0.35">
      <c r="E34" s="5"/>
      <c r="I34" s="5"/>
    </row>
    <row r="35" spans="5:9" x14ac:dyDescent="0.35">
      <c r="E35" s="5"/>
      <c r="I35" s="5"/>
    </row>
    <row r="36" spans="5:9" x14ac:dyDescent="0.35">
      <c r="E36" s="5"/>
      <c r="I36" s="5"/>
    </row>
  </sheetData>
  <mergeCells count="9">
    <mergeCell ref="A16:A19"/>
    <mergeCell ref="A21:J21"/>
    <mergeCell ref="N8:W13"/>
    <mergeCell ref="A2:J2"/>
    <mergeCell ref="A3:J3"/>
    <mergeCell ref="N7:W7"/>
    <mergeCell ref="A7:A9"/>
    <mergeCell ref="A10:A11"/>
    <mergeCell ref="A12:A15"/>
  </mergeCells>
  <conditionalFormatting sqref="I7:I19">
    <cfRule type="containsText" dxfId="2" priority="1" operator="containsText" text="Not Used &amp; Completed">
      <formula>NOT(ISERROR(SEARCH("Not Used &amp; Completed",I7)))</formula>
    </cfRule>
    <cfRule type="containsText" dxfId="1" priority="2" operator="containsText" text="Open">
      <formula>NOT(ISERROR(SEARCH("Open",I7)))</formula>
    </cfRule>
    <cfRule type="containsText" dxfId="0" priority="3" operator="containsText" text="Used &amp; Completed">
      <formula>NOT(ISERROR(SEARCH("Used &amp; Completed",I7)))</formula>
    </cfRule>
  </conditionalFormatting>
  <dataValidations disablePrompts="1" count="1">
    <dataValidation type="list" allowBlank="1" showInputMessage="1" showErrorMessage="1" sqref="I7:I19" xr:uid="{DF168AA6-28BA-48AE-98A8-0068DCF947C0}">
      <formula1>"Open, Used &amp; Completed, Not Used &amp; Completed"</formula1>
    </dataValidation>
  </dataValidations>
  <hyperlinks>
    <hyperlink ref="A21" r:id="rId1" xr:uid="{C918227D-2C70-4EC0-920E-5CD0F189EEA2}"/>
  </hyperlinks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A5205-C18B-40C6-AA4D-FFD4A2EFEEEF}">
  <dimension ref="A1:L15"/>
  <sheetViews>
    <sheetView topLeftCell="A5" workbookViewId="0">
      <selection activeCell="D19" sqref="D19"/>
    </sheetView>
  </sheetViews>
  <sheetFormatPr defaultRowHeight="14.5" x14ac:dyDescent="0.35"/>
  <cols>
    <col min="1" max="1" width="28.81640625" customWidth="1"/>
    <col min="2" max="2" width="19.90625" customWidth="1"/>
    <col min="3" max="3" width="8.1796875" bestFit="1" customWidth="1"/>
    <col min="4" max="4" width="11.90625" customWidth="1"/>
    <col min="5" max="5" width="4.26953125" bestFit="1" customWidth="1"/>
    <col min="7" max="7" width="27.453125" customWidth="1"/>
    <col min="8" max="8" width="4.54296875" bestFit="1" customWidth="1"/>
    <col min="10" max="10" width="4.26953125" bestFit="1" customWidth="1"/>
    <col min="12" max="12" width="22.6328125" customWidth="1"/>
  </cols>
  <sheetData>
    <row r="1" spans="1:12" ht="15" thickBot="1" x14ac:dyDescent="0.4">
      <c r="B1" s="59" t="s">
        <v>76</v>
      </c>
      <c r="C1" s="60"/>
      <c r="D1" s="60" t="s">
        <v>77</v>
      </c>
      <c r="E1" s="61" t="s">
        <v>78</v>
      </c>
      <c r="G1" s="59" t="s">
        <v>76</v>
      </c>
      <c r="H1" s="60"/>
      <c r="I1" s="60" t="s">
        <v>77</v>
      </c>
      <c r="J1" s="61" t="s">
        <v>78</v>
      </c>
    </row>
    <row r="2" spans="1:12" ht="16.5" x14ac:dyDescent="0.45">
      <c r="A2" s="62" t="s">
        <v>79</v>
      </c>
      <c r="B2" s="63" t="s">
        <v>80</v>
      </c>
      <c r="C2" s="17" t="s">
        <v>81</v>
      </c>
      <c r="D2" s="64">
        <v>7</v>
      </c>
      <c r="E2" s="65" t="s">
        <v>82</v>
      </c>
      <c r="G2" s="63" t="s">
        <v>80</v>
      </c>
      <c r="H2" s="17" t="s">
        <v>81</v>
      </c>
      <c r="I2" s="64">
        <v>7</v>
      </c>
      <c r="J2" s="65" t="s">
        <v>82</v>
      </c>
      <c r="L2" t="s">
        <v>83</v>
      </c>
    </row>
    <row r="3" spans="1:12" ht="30" x14ac:dyDescent="0.45">
      <c r="A3" s="66" t="s">
        <v>84</v>
      </c>
      <c r="B3" s="67" t="s">
        <v>85</v>
      </c>
      <c r="C3" s="4" t="s">
        <v>86</v>
      </c>
      <c r="D3" s="68">
        <v>1</v>
      </c>
      <c r="E3" s="69" t="s">
        <v>82</v>
      </c>
      <c r="G3" s="67" t="s">
        <v>85</v>
      </c>
      <c r="H3" s="4" t="s">
        <v>86</v>
      </c>
      <c r="I3" s="68">
        <v>1</v>
      </c>
      <c r="J3" s="69" t="s">
        <v>82</v>
      </c>
    </row>
    <row r="4" spans="1:12" ht="17" thickBot="1" x14ac:dyDescent="0.5">
      <c r="A4" s="70" t="s">
        <v>43</v>
      </c>
      <c r="B4" s="71" t="s">
        <v>87</v>
      </c>
      <c r="C4" s="5" t="s">
        <v>88</v>
      </c>
      <c r="D4" s="72">
        <v>4</v>
      </c>
      <c r="E4" s="69" t="s">
        <v>82</v>
      </c>
      <c r="G4" s="73" t="s">
        <v>89</v>
      </c>
      <c r="H4" s="74" t="s">
        <v>90</v>
      </c>
      <c r="I4" s="75">
        <v>2</v>
      </c>
      <c r="J4" s="76" t="s">
        <v>91</v>
      </c>
    </row>
    <row r="5" spans="1:12" ht="30.5" thickBot="1" x14ac:dyDescent="0.5">
      <c r="B5" s="71" t="s">
        <v>92</v>
      </c>
      <c r="C5" s="5" t="s">
        <v>93</v>
      </c>
      <c r="D5" s="68">
        <v>52</v>
      </c>
      <c r="E5" s="69" t="s">
        <v>94</v>
      </c>
      <c r="G5" s="73" t="s">
        <v>95</v>
      </c>
      <c r="H5" s="74" t="s">
        <v>96</v>
      </c>
      <c r="I5" s="77">
        <f>(I2-I3)/I4</f>
        <v>3</v>
      </c>
      <c r="J5" s="78" t="s">
        <v>97</v>
      </c>
    </row>
    <row r="6" spans="1:12" ht="30" x14ac:dyDescent="0.45">
      <c r="B6" s="67" t="s">
        <v>98</v>
      </c>
      <c r="C6" s="4" t="s">
        <v>99</v>
      </c>
      <c r="D6" s="72">
        <v>2</v>
      </c>
      <c r="E6" s="69" t="s">
        <v>100</v>
      </c>
    </row>
    <row r="7" spans="1:12" ht="16.5" x14ac:dyDescent="0.45">
      <c r="B7" s="71" t="s">
        <v>101</v>
      </c>
      <c r="C7" s="79" t="s">
        <v>102</v>
      </c>
      <c r="D7" s="68">
        <v>80</v>
      </c>
      <c r="E7" s="69" t="s">
        <v>103</v>
      </c>
      <c r="G7" t="s">
        <v>104</v>
      </c>
    </row>
    <row r="8" spans="1:12" ht="16.5" x14ac:dyDescent="0.45">
      <c r="B8" s="71" t="s">
        <v>105</v>
      </c>
      <c r="C8" s="79" t="s">
        <v>106</v>
      </c>
      <c r="D8" s="68">
        <v>300</v>
      </c>
      <c r="E8" s="69" t="s">
        <v>107</v>
      </c>
    </row>
    <row r="9" spans="1:12" ht="17" thickBot="1" x14ac:dyDescent="0.5">
      <c r="B9" s="71" t="s">
        <v>108</v>
      </c>
      <c r="C9" s="79" t="s">
        <v>109</v>
      </c>
      <c r="D9" s="72">
        <v>0.4</v>
      </c>
      <c r="E9" s="69" t="s">
        <v>110</v>
      </c>
    </row>
    <row r="10" spans="1:12" ht="16.5" x14ac:dyDescent="0.45">
      <c r="B10" s="80" t="s">
        <v>111</v>
      </c>
      <c r="C10" s="81" t="s">
        <v>112</v>
      </c>
      <c r="D10" s="82">
        <f>D2-D3-D4</f>
        <v>2</v>
      </c>
      <c r="E10" s="65" t="s">
        <v>82</v>
      </c>
      <c r="G10" t="s">
        <v>113</v>
      </c>
    </row>
    <row r="11" spans="1:12" ht="17" thickBot="1" x14ac:dyDescent="0.5">
      <c r="B11" s="73" t="s">
        <v>113</v>
      </c>
      <c r="C11" s="74" t="s">
        <v>114</v>
      </c>
      <c r="D11" s="77">
        <f>ROUNDUP((D5*10^-9+D6*10^-6*D7*0.01/(D8*10^3)+D9*10^-3/(D8*10^3))*10^9,0)</f>
        <v>54</v>
      </c>
      <c r="E11" s="76" t="s">
        <v>94</v>
      </c>
    </row>
    <row r="12" spans="1:12" ht="30.5" thickBot="1" x14ac:dyDescent="0.5">
      <c r="B12" s="67" t="s">
        <v>115</v>
      </c>
      <c r="C12" s="83" t="s">
        <v>116</v>
      </c>
      <c r="D12" s="84">
        <f>ROUNDUP((D5*10^-9+D6*10^-6*D7*0.01/(D8*10^3)+D9*10^-3/(D8*10^3))*10^9,0)/(D2-D3-D4)</f>
        <v>27</v>
      </c>
      <c r="E12" s="69" t="s">
        <v>117</v>
      </c>
    </row>
    <row r="13" spans="1:12" ht="20.5" customHeight="1" thickBot="1" x14ac:dyDescent="0.5">
      <c r="B13" s="85" t="s">
        <v>118</v>
      </c>
      <c r="C13" s="86" t="s">
        <v>112</v>
      </c>
      <c r="D13" s="87">
        <v>0.5</v>
      </c>
      <c r="E13" s="61" t="s">
        <v>82</v>
      </c>
      <c r="G13" t="s">
        <v>119</v>
      </c>
    </row>
    <row r="14" spans="1:12" ht="30.5" thickBot="1" x14ac:dyDescent="0.5">
      <c r="B14" s="59" t="s">
        <v>120</v>
      </c>
      <c r="C14" s="88" t="s">
        <v>121</v>
      </c>
      <c r="D14" s="89">
        <f>D11/D13</f>
        <v>108</v>
      </c>
      <c r="E14" s="61" t="s">
        <v>117</v>
      </c>
    </row>
    <row r="15" spans="1:12" x14ac:dyDescent="0.35">
      <c r="D15" s="90"/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26997-F1D2-4DA1-AFD5-C80CC6E4F9ED}">
  <dimension ref="A1:M26"/>
  <sheetViews>
    <sheetView workbookViewId="0">
      <selection activeCell="G20" sqref="G20"/>
    </sheetView>
  </sheetViews>
  <sheetFormatPr defaultRowHeight="14.5" x14ac:dyDescent="0.35"/>
  <cols>
    <col min="1" max="1" width="30.08984375" customWidth="1"/>
    <col min="2" max="2" width="26.90625" bestFit="1" customWidth="1"/>
    <col min="3" max="3" width="10.1796875" bestFit="1" customWidth="1"/>
    <col min="4" max="4" width="7.453125" customWidth="1"/>
    <col min="5" max="5" width="5.1796875" bestFit="1" customWidth="1"/>
    <col min="6" max="6" width="1.08984375" customWidth="1"/>
    <col min="7" max="7" width="30.90625" bestFit="1" customWidth="1"/>
    <col min="8" max="8" width="6.6328125" customWidth="1"/>
    <col min="9" max="9" width="4.26953125" bestFit="1" customWidth="1"/>
    <col min="10" max="10" width="1.08984375" customWidth="1"/>
    <col min="11" max="11" width="24" bestFit="1" customWidth="1"/>
    <col min="12" max="12" width="6.7265625" customWidth="1"/>
    <col min="13" max="13" width="4.26953125" bestFit="1" customWidth="1"/>
  </cols>
  <sheetData>
    <row r="1" spans="1:13" ht="15" thickBot="1" x14ac:dyDescent="0.4">
      <c r="B1" s="91" t="s">
        <v>76</v>
      </c>
      <c r="C1" s="88"/>
      <c r="D1" s="88" t="s">
        <v>77</v>
      </c>
      <c r="E1" s="61" t="s">
        <v>78</v>
      </c>
    </row>
    <row r="2" spans="1:13" ht="16.5" x14ac:dyDescent="0.45">
      <c r="A2" s="62" t="s">
        <v>122</v>
      </c>
      <c r="B2" s="63" t="s">
        <v>80</v>
      </c>
      <c r="C2" s="17" t="s">
        <v>81</v>
      </c>
      <c r="D2" s="64">
        <v>7</v>
      </c>
      <c r="E2" s="65" t="s">
        <v>82</v>
      </c>
    </row>
    <row r="3" spans="1:13" ht="16.5" x14ac:dyDescent="0.45">
      <c r="A3" s="66" t="s">
        <v>123</v>
      </c>
      <c r="B3" s="92" t="s">
        <v>124</v>
      </c>
      <c r="C3" s="5" t="s">
        <v>93</v>
      </c>
      <c r="D3" s="68">
        <v>52</v>
      </c>
      <c r="E3" s="69" t="s">
        <v>94</v>
      </c>
      <c r="G3" t="s">
        <v>125</v>
      </c>
    </row>
    <row r="4" spans="1:13" ht="16.5" x14ac:dyDescent="0.45">
      <c r="A4" s="70" t="s">
        <v>126</v>
      </c>
      <c r="B4" s="71" t="s">
        <v>127</v>
      </c>
      <c r="C4" s="79" t="s">
        <v>106</v>
      </c>
      <c r="D4" s="68">
        <v>300</v>
      </c>
      <c r="E4" s="69" t="s">
        <v>107</v>
      </c>
    </row>
    <row r="5" spans="1:13" ht="16.5" x14ac:dyDescent="0.45">
      <c r="B5" s="71" t="s">
        <v>128</v>
      </c>
      <c r="C5" s="5" t="s">
        <v>129</v>
      </c>
      <c r="D5" s="68">
        <v>0.75</v>
      </c>
      <c r="E5" s="93" t="s">
        <v>97</v>
      </c>
    </row>
    <row r="6" spans="1:13" ht="16.5" x14ac:dyDescent="0.45">
      <c r="B6" s="71" t="s">
        <v>130</v>
      </c>
      <c r="C6" s="79" t="s">
        <v>131</v>
      </c>
      <c r="D6" s="72">
        <v>1</v>
      </c>
      <c r="E6" s="93" t="s">
        <v>97</v>
      </c>
    </row>
    <row r="7" spans="1:13" ht="16.5" x14ac:dyDescent="0.45">
      <c r="B7" s="71" t="s">
        <v>132</v>
      </c>
      <c r="C7" s="79" t="s">
        <v>133</v>
      </c>
      <c r="D7" s="68">
        <v>5</v>
      </c>
      <c r="E7" s="93" t="s">
        <v>97</v>
      </c>
      <c r="G7" s="5"/>
      <c r="H7" s="79"/>
      <c r="I7" s="94"/>
    </row>
    <row r="8" spans="1:13" ht="16.5" x14ac:dyDescent="0.45">
      <c r="B8" s="71" t="s">
        <v>134</v>
      </c>
      <c r="C8" s="79" t="s">
        <v>135</v>
      </c>
      <c r="D8" s="72">
        <v>0.85</v>
      </c>
      <c r="E8" s="93" t="s">
        <v>97</v>
      </c>
      <c r="G8" t="s">
        <v>136</v>
      </c>
    </row>
    <row r="9" spans="1:13" ht="16.5" x14ac:dyDescent="0.45">
      <c r="B9" s="71" t="s">
        <v>137</v>
      </c>
      <c r="C9" s="79" t="s">
        <v>138</v>
      </c>
      <c r="D9" s="68">
        <v>2</v>
      </c>
      <c r="E9" s="93" t="s">
        <v>97</v>
      </c>
    </row>
    <row r="10" spans="1:13" ht="16.5" x14ac:dyDescent="0.45">
      <c r="B10" s="71" t="s">
        <v>139</v>
      </c>
      <c r="C10" s="79" t="s">
        <v>140</v>
      </c>
      <c r="D10" s="72">
        <v>0.3</v>
      </c>
      <c r="E10" s="69" t="s">
        <v>110</v>
      </c>
    </row>
    <row r="11" spans="1:13" ht="16.5" x14ac:dyDescent="0.45">
      <c r="A11" s="5"/>
      <c r="B11" s="71" t="s">
        <v>141</v>
      </c>
      <c r="C11" s="4" t="s">
        <v>86</v>
      </c>
      <c r="D11" s="72">
        <v>0.7</v>
      </c>
      <c r="E11" s="69" t="s">
        <v>82</v>
      </c>
      <c r="G11" t="s">
        <v>142</v>
      </c>
    </row>
    <row r="12" spans="1:13" ht="16.5" x14ac:dyDescent="0.45">
      <c r="A12" s="5"/>
      <c r="B12" s="71" t="s">
        <v>108</v>
      </c>
      <c r="C12" s="79" t="s">
        <v>109</v>
      </c>
      <c r="D12" s="72">
        <v>0.2</v>
      </c>
      <c r="E12" s="93" t="s">
        <v>110</v>
      </c>
      <c r="K12" s="79"/>
      <c r="L12" s="79"/>
      <c r="M12" s="79"/>
    </row>
    <row r="13" spans="1:13" x14ac:dyDescent="0.35">
      <c r="B13" s="71" t="s">
        <v>143</v>
      </c>
      <c r="C13" s="5"/>
      <c r="D13" s="68" t="s">
        <v>144</v>
      </c>
      <c r="E13" s="69"/>
    </row>
    <row r="14" spans="1:13" ht="16.5" x14ac:dyDescent="0.45">
      <c r="B14" s="71" t="s">
        <v>145</v>
      </c>
      <c r="C14" s="79" t="s">
        <v>146</v>
      </c>
      <c r="D14" s="68">
        <v>1</v>
      </c>
      <c r="E14" s="69" t="s">
        <v>110</v>
      </c>
      <c r="G14" t="s">
        <v>147</v>
      </c>
    </row>
    <row r="15" spans="1:13" ht="16.5" x14ac:dyDescent="0.45">
      <c r="B15" s="71" t="s">
        <v>148</v>
      </c>
      <c r="C15" s="79" t="s">
        <v>149</v>
      </c>
      <c r="D15" s="68">
        <v>1</v>
      </c>
      <c r="E15" s="69" t="s">
        <v>150</v>
      </c>
    </row>
    <row r="16" spans="1:13" ht="16.5" x14ac:dyDescent="0.45">
      <c r="B16" s="71" t="s">
        <v>151</v>
      </c>
      <c r="C16" s="79" t="s">
        <v>152</v>
      </c>
      <c r="D16" s="95">
        <v>10</v>
      </c>
      <c r="E16" s="69" t="s">
        <v>82</v>
      </c>
    </row>
    <row r="17" spans="2:5" ht="16.5" x14ac:dyDescent="0.45">
      <c r="B17" s="96" t="s">
        <v>153</v>
      </c>
      <c r="C17" s="79" t="s">
        <v>99</v>
      </c>
      <c r="D17" s="97">
        <v>2</v>
      </c>
      <c r="E17" s="93" t="s">
        <v>154</v>
      </c>
    </row>
    <row r="18" spans="2:5" ht="16.5" x14ac:dyDescent="0.45">
      <c r="B18" s="96" t="s">
        <v>155</v>
      </c>
      <c r="C18" s="79" t="s">
        <v>156</v>
      </c>
      <c r="D18" s="95">
        <v>82</v>
      </c>
      <c r="E18" s="93" t="s">
        <v>82</v>
      </c>
    </row>
    <row r="19" spans="2:5" ht="17" thickBot="1" x14ac:dyDescent="0.5">
      <c r="B19" s="98" t="s">
        <v>157</v>
      </c>
      <c r="C19" s="99" t="s">
        <v>102</v>
      </c>
      <c r="D19" s="100">
        <v>50</v>
      </c>
      <c r="E19" s="78" t="s">
        <v>103</v>
      </c>
    </row>
    <row r="20" spans="2:5" ht="16.5" x14ac:dyDescent="0.45">
      <c r="B20" s="63" t="s">
        <v>125</v>
      </c>
      <c r="C20" s="17" t="s">
        <v>158</v>
      </c>
      <c r="D20" s="101">
        <f>ROUND(2*10^-3*D2*D3*D4*D6/(D6+D5+D7)+2*10^-3*D2*D3*D4*D8/(D8+D5+D9),2)</f>
        <v>83.92</v>
      </c>
      <c r="E20" s="102" t="s">
        <v>159</v>
      </c>
    </row>
    <row r="21" spans="2:5" ht="16.5" x14ac:dyDescent="0.45">
      <c r="B21" s="71" t="s">
        <v>136</v>
      </c>
      <c r="C21" s="5" t="s">
        <v>160</v>
      </c>
      <c r="D21" s="103">
        <f>D2*D10+(D2-D11)*D12</f>
        <v>3.3600000000000003</v>
      </c>
      <c r="E21" s="93" t="s">
        <v>159</v>
      </c>
    </row>
    <row r="22" spans="2:5" ht="16.5" x14ac:dyDescent="0.45">
      <c r="B22" s="71" t="s">
        <v>147</v>
      </c>
      <c r="C22" s="5" t="s">
        <v>161</v>
      </c>
      <c r="D22" s="84">
        <f>D11*(D12+D3*D4)*10^-6</f>
        <v>1.0920139999999998E-2</v>
      </c>
      <c r="E22" s="69" t="s">
        <v>159</v>
      </c>
    </row>
    <row r="23" spans="2:5" ht="17" thickBot="1" x14ac:dyDescent="0.5">
      <c r="B23" s="104" t="s">
        <v>162</v>
      </c>
      <c r="C23" s="105" t="s">
        <v>163</v>
      </c>
      <c r="D23" s="77">
        <f>D17*D18*D19*10^-3</f>
        <v>8.1999999999999993</v>
      </c>
      <c r="E23" s="76" t="s">
        <v>159</v>
      </c>
    </row>
    <row r="24" spans="2:5" ht="15" thickBot="1" x14ac:dyDescent="0.4">
      <c r="B24" s="98" t="s">
        <v>164</v>
      </c>
      <c r="C24" s="99"/>
      <c r="D24" s="77">
        <f>ROUND(D20+D21+D23+IF(D13="yes",D22,0),2)</f>
        <v>95.49</v>
      </c>
      <c r="E24" s="106" t="s">
        <v>159</v>
      </c>
    </row>
    <row r="25" spans="2:5" ht="17" thickBot="1" x14ac:dyDescent="0.5">
      <c r="B25" s="98" t="s">
        <v>165</v>
      </c>
      <c r="C25" s="99" t="s">
        <v>166</v>
      </c>
      <c r="D25" s="75">
        <v>118.3</v>
      </c>
      <c r="E25" s="106" t="s">
        <v>167</v>
      </c>
    </row>
    <row r="26" spans="2:5" ht="29.5" thickBot="1" x14ac:dyDescent="0.4">
      <c r="B26" s="59" t="s">
        <v>168</v>
      </c>
      <c r="C26" s="88" t="s">
        <v>169</v>
      </c>
      <c r="D26" s="89">
        <f>D24*D25*0.001</f>
        <v>11.296467</v>
      </c>
      <c r="E26" s="61" t="s">
        <v>170</v>
      </c>
    </row>
  </sheetData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F9C06-56CE-417E-8B66-C223A93269EE}">
          <x14:formula1>
            <xm:f>'C:\Users\a0500447\Downloads\[Half Bridge Calculator.xlsx]extra'!#REF!</xm:f>
          </x14:formula1>
          <xm:sqref>D13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18BF1-4EAF-49F5-9056-A50A82E53C7A}">
  <dimension ref="A1:G10"/>
  <sheetViews>
    <sheetView workbookViewId="0">
      <selection activeCell="G20" sqref="G20"/>
    </sheetView>
  </sheetViews>
  <sheetFormatPr defaultRowHeight="14.5" x14ac:dyDescent="0.35"/>
  <cols>
    <col min="1" max="1" width="29.08984375" customWidth="1"/>
    <col min="2" max="2" width="30.26953125" bestFit="1" customWidth="1"/>
    <col min="3" max="3" width="10.36328125" bestFit="1" customWidth="1"/>
    <col min="5" max="5" width="4.26953125" bestFit="1" customWidth="1"/>
    <col min="6" max="6" width="3.36328125" customWidth="1"/>
    <col min="7" max="7" width="17.26953125" customWidth="1"/>
  </cols>
  <sheetData>
    <row r="1" spans="1:7" ht="15" thickBot="1" x14ac:dyDescent="0.4">
      <c r="B1" s="91" t="s">
        <v>76</v>
      </c>
      <c r="C1" s="88"/>
      <c r="D1" s="88" t="s">
        <v>77</v>
      </c>
      <c r="E1" s="61" t="s">
        <v>78</v>
      </c>
    </row>
    <row r="2" spans="1:7" ht="16.5" x14ac:dyDescent="0.45">
      <c r="A2" s="62" t="s">
        <v>122</v>
      </c>
      <c r="B2" s="71" t="s">
        <v>171</v>
      </c>
      <c r="C2" s="5" t="s">
        <v>93</v>
      </c>
      <c r="D2" s="68">
        <v>52</v>
      </c>
      <c r="E2" s="69" t="s">
        <v>94</v>
      </c>
    </row>
    <row r="3" spans="1:7" ht="16.5" x14ac:dyDescent="0.45">
      <c r="A3" s="66" t="s">
        <v>123</v>
      </c>
      <c r="B3" s="71" t="s">
        <v>172</v>
      </c>
      <c r="C3" s="5" t="s">
        <v>173</v>
      </c>
      <c r="D3" s="68">
        <v>10</v>
      </c>
      <c r="E3" s="69" t="s">
        <v>82</v>
      </c>
    </row>
    <row r="4" spans="1:7" ht="16.5" x14ac:dyDescent="0.45">
      <c r="A4" s="70" t="s">
        <v>126</v>
      </c>
      <c r="B4" s="71" t="s">
        <v>128</v>
      </c>
      <c r="C4" s="5" t="s">
        <v>129</v>
      </c>
      <c r="D4" s="68">
        <v>0.75</v>
      </c>
      <c r="E4" s="93" t="s">
        <v>97</v>
      </c>
      <c r="G4" t="s">
        <v>174</v>
      </c>
    </row>
    <row r="5" spans="1:7" ht="16.5" x14ac:dyDescent="0.45">
      <c r="B5" s="71" t="s">
        <v>130</v>
      </c>
      <c r="C5" s="79" t="s">
        <v>131</v>
      </c>
      <c r="D5" s="72">
        <v>1</v>
      </c>
      <c r="E5" s="93" t="s">
        <v>97</v>
      </c>
    </row>
    <row r="6" spans="1:7" ht="16.5" x14ac:dyDescent="0.45">
      <c r="B6" s="71" t="s">
        <v>132</v>
      </c>
      <c r="C6" s="79" t="s">
        <v>133</v>
      </c>
      <c r="D6" s="68">
        <v>5</v>
      </c>
      <c r="E6" s="93" t="s">
        <v>97</v>
      </c>
    </row>
    <row r="7" spans="1:7" ht="16.5" x14ac:dyDescent="0.45">
      <c r="B7" s="71" t="s">
        <v>134</v>
      </c>
      <c r="C7" s="79" t="s">
        <v>135</v>
      </c>
      <c r="D7" s="72">
        <v>0.85</v>
      </c>
      <c r="E7" s="93" t="s">
        <v>97</v>
      </c>
    </row>
    <row r="8" spans="1:7" ht="17" thickBot="1" x14ac:dyDescent="0.5">
      <c r="B8" s="71" t="s">
        <v>137</v>
      </c>
      <c r="C8" s="79" t="s">
        <v>138</v>
      </c>
      <c r="D8" s="68">
        <v>2</v>
      </c>
      <c r="E8" s="93" t="s">
        <v>97</v>
      </c>
    </row>
    <row r="9" spans="1:7" ht="16.5" x14ac:dyDescent="0.45">
      <c r="B9" s="63" t="s">
        <v>175</v>
      </c>
      <c r="C9" s="17" t="s">
        <v>176</v>
      </c>
      <c r="D9" s="82">
        <f>ROUND(2*(D5+D6+D4)*D2/D3,0)</f>
        <v>70</v>
      </c>
      <c r="E9" s="102" t="s">
        <v>150</v>
      </c>
    </row>
    <row r="10" spans="1:7" ht="17" thickBot="1" x14ac:dyDescent="0.5">
      <c r="B10" s="104" t="s">
        <v>177</v>
      </c>
      <c r="C10" s="105" t="s">
        <v>178</v>
      </c>
      <c r="D10" s="107">
        <f>ROUND(2*(D7+D8+D4)*D2/D3,0)</f>
        <v>37</v>
      </c>
      <c r="E10" s="78" t="s">
        <v>150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Schematic Review Checklist</vt:lpstr>
      <vt:lpstr>Bootstrap</vt:lpstr>
      <vt:lpstr>Power Dissipation</vt:lpstr>
      <vt:lpstr>Switching Times</vt:lpstr>
    </vt:vector>
  </TitlesOfParts>
  <Company>Texas Instruments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Mohamed, Hagar</dc:creator>
  <cp:lastModifiedBy>Mohamed, Hagar</cp:lastModifiedBy>
  <dcterms:created xsi:type="dcterms:W3CDTF">2022-06-02T14:28:07Z</dcterms:created>
  <dcterms:modified xsi:type="dcterms:W3CDTF">2022-07-25T21:08:01Z</dcterms:modified>
</cp:coreProperties>
</file>